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7582BB6C-739B-4A9A-9D8F-1EB310B37A63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<sst xmlns="http://schemas.openxmlformats.org/spreadsheetml/2006/main" count="1505" uniqueCount="1088">
  <si>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</si>
  <si>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テンプレートとしてのWordファイルのパス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</si>
  <si>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</si>
  <si>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</si>
  <si>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</si>
  <si>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</si>
  <si>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</si>
  <si>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</si>
  <si>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</si>
  <si>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</si>
  <si>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</si>
  <si>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</si>
  <si>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</si>
  <si>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</si>
  <si>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</si>
  <si>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</si>
  <si>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</si>
  <si>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</si>
  <si>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</si>
  <si>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</si>
  <si>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</si>
  <si>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</si>
  <si>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</si>
  <si>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</si>
  <si>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</si>
  <si>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</si>
  <si>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</si>
  <si>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</si>
  <si>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</si>
  <si>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</si>
  <si>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</si>
  <si>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</si>
  <si>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</si>
  <si>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</si>
  <si>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</si>
  <si>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</si>
  <si>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</si>
  <si>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</si>
  <si>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</si>
  <si>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</si>
  <si>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</si>
  <si>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</si>
  <si>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</si>
  <si>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</si>
  <si>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</si>
  <si>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</si>
  <si>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</si>
  <si>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</si>
  <si>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</si>
  <si>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</si>
  <si>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</si>
  <si>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</si>
  <si>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</si>
  <si>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</si>
  <si>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</si>
  <si>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</si>
  <si>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</si>
  <si>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</si>
  <si>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</si>
  <si>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</si>
  <si>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</si>
  <si>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</si>
  <si>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</si>
  <si>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</si>
  <si>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</si>
  <si>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</si>
  <si>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</si>
  <si>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</si>
  <si>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</si>
  <si>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</si>
  <si>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</si>
  <si>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</si>
  <si>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</si>
  <si>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</si>
  <si>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</si>
  <si>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</si>
  <si>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</si>
  <si>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</si>
  <si>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</si>
  <si>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</si>
  <si>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</si>
  <si>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</si>
  <si>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</si>
  <si>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</si>
  <si>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</si>
  <si>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</si>
  <si>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</si>
  <si>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</si>
  <si>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</si>
  <si>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</si>
  <si>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</si>
  <si>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</si>
  <si>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</si>
  <si>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</si>
  <si>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</si>
  <si>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</si>
  <si>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</si>
  <si>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</si>
  <si>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</si>
  <si>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</si>
  <si>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</si>
  <si>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</si>
  <si>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</si>
  <si>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</si>
  <si>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</si>
  <si>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</si>
  <si>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</si>
  <si>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</si>
  <si>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</si>
  <si>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</si>
  <si>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</si>
  <si>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</si>
  <si>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</si>
  <si>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</si>
  <si>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</si>
  <si>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</si>
  <si>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</si>
  <si>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</si>
  <si>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</si>
  <si>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</si>
  <si>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</si>
  <si>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</si>
  <si>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</si>
  <si>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</si>
  <si>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</si>
  <si>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</si>
  <si>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</si>
  <si>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</si>
  <si>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</si>
  <si>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</si>
  <si>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</si>
  <si>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</si>
  <si>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</si>
  <si>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</si>
  <si>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</si>
  <si>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</si>
  <si>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</si>
  <si>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</si>
  <si>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</si>
  <si>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</si>
  <si>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</si>
  <si>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</si>
  <si>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</si>
  <si>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</si>
  <si>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</si>
  <si>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</si>
  <si>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</si>
  <si>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</si>
  <si>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</si>
  <si>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</si>
  <si>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</si>
  <si>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</si>
  <si>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</si>
  <si>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</si>
  <si>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</si>
  <si>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</si>
  <si>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</si>
  <si>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</si>
  <si>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</si>
  <si>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</si>
  <si>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</si>
  <si>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</si>
  <si>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</si>
  <si>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</si>
  <si>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</si>
  <si>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</si>
  <si>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</si>
  <si>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</si>
  <si>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</si>
  <si>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</si>
  <si>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</si>
  <si>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</si>
  <si>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</si>
  <si>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</si>
  <si>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</si>
  <si>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</si>
  <si>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</si>
  <si>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</si>
  <si>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</si>
  <si>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</si>
  <si>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</si>
  <si>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</si>
  <si>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</si>
  <si>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</si>
  <si>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</si>
  <si>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</si>
  <si>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</si>
  <si>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</si>
  <si>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</si>
  <si>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</si>
  <si>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</si>
  <si>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</si>
  <si>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</si>
  <si>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</si>
  <si>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</si>
  <si>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</si>
  <si>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</si>
  <si>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</si>
  <si>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</si>
  <si>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</si>
  <si>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</si>
  <si>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</si>
  <si>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</si>
  <si>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</si>
  <si>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</si>
  <si>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</si>
  <si>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</si>
  <si>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</si>
  <si>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</si>
  <si>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</si>
  <si>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</si>
  <si>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</si>
  <si>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</si>
  <si>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</si>
  <si>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</si>
  <si>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</si>
  <si>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</si>
  <si>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</si>
  <si>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</si>
  <si>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</si>
  <si>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</si>
  <si>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</si>
  <si>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</si>
  <si>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</si>
  <si>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</si>
  <si>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</si>
  <si>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</si>
  <si>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</si>
  <si>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</si>
  <si>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</si>
  <si>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</si>
  <si>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</si>
  <si>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</si>
  <si>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</si>
  <si>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</si>
  <si>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</si>
  <si>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</si>
  <si>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</si>
  <si>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</si>
  <si>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</si>
  <si>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</si>
  <si>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</si>
  <si>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</si>
  <si>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</si>
  <si>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</si>
  <si>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</si>
  <si>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</si>
  <si>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</si>
  <si>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</si>
  <si>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</si>
  <si>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</si>
  <si>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</si>
  <si>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</si>
  <si>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</si>
  <si>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</si>
  <si>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</si>
  <si>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</si>
  <si>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</si>
  <si>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</si>
  <si>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</si>
  <si>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</si>
  <si>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</si>
  <si>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</si>
  <si>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</si>
  <si>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</si>
  <si>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</si>
  <si>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</si>
  <si>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</si>
  <si>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</si>
  <si>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</si>
  <si>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</si>
  <si>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</si>
  <si>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</si>
  <si>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</si>
  <si>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</si>
  <si>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</si>
  <si>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</si>
  <si>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</si>
  <si>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</si>
  <si>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</si>
  <si>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</si>
  <si>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</si>
  <si>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</si>
  <si>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</si>
  <si>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</si>
  <si>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</si>
  <si>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</si>
  <si>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</si>
  <si>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</si>
  <si>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</si>
  <si>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</si>
  <si>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</si>
  <si>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</si>
  <si>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</si>
  <si>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</si>
  <si>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</si>
  <si>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</si>
  <si>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</si>
  <si>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</si>
  <si>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</si>
  <si>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</si>
  <si>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</si>
  <si>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</si>
  <si>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</si>
  <si>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</si>
  <si>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</si>
  <si>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</si>
  <si>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</si>
  <si>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</si>
  <si>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</si>
  <si>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</si>
  <si>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</si>
  <si>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</si>
  <si>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</si>
  <si>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</si>
  <si>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</si>
  <si>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</si>
  <si>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</si>
  <si>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</si>
  <si>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</si>
  <si>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</si>
  <si>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</si>
  <si>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</si>
  <si>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</si>
  <si>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</si>
  <si>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</si>
  <si>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</si>
  <si>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</si>
  <si>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</si>
  <si>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</si>
  <si>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</si>
  <si>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</si>
  <si>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</si>
  <si>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</si>
  <si>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</si>
  <si>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</si>
  <si>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</si>
  <si>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</si>
  <si>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</si>
  <si>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</si>
  <si>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</si>
  <si>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</si>
  <si>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</si>
  <si>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</si>
  <si>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</si>
  <si>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</si>
  <si>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</si>
  <si>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</si>
  <si>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</si>
  <si>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</si>
  <si>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</si>
  <si>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</si>
  <si>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</si>
  <si>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</si>
  <si>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</si>
  <si>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</si>
  <si>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</si>
  <si>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</si>
  <si>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</si>
  <si>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</si>
  <si>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</si>
  <si>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</si>
  <si>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</si>
  <si>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</si>
  <si>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</si>
  <si>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</si>
  <si>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</si>
  <si>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</si>
  <si>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</si>
  <si>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</si>
  <si>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</si>
  <si>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</si>
  <si>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</si>
  <si>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</si>
  <si>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</si>
  <si>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</si>
  <si>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</si>
  <si>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</si>
  <si>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</si>
  <si>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</si>
  <si>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</si>
  <si>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</si>
  <si>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</si>
  <si>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</si>
  <si>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</si>
  <si>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</si>
  <si>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</si>
  <si>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</si>
  <si>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</si>
  <si>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</si>
  <si>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</si>
  <si>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</si>
  <si>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</si>
  <si>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</si>
  <si>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</si>
  <si>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</si>
  <si>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</si>
  <si>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</si>
  <si>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</si>
  <si>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</si>
  <si>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</si>
  <si>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</si>
  <si>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</si>
  <si>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</si>
  <si>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</si>
  <si>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</si>
  <si>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</si>
  <si>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</si>
  <si>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</si>
  <si>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</si>
  <si>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</si>
  <si>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</si>
  <si>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</si>
  <si>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</si>
  <si>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</si>
  <si>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</si>
  <si>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</si>
  <si>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</si>
  <si>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</si>
  <si>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</si>
  <si>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</si>
  <si>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</si>
  <si>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</si>
  <si>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</si>
  <si>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</si>
  <si>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</si>
  <si>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</si>
  <si>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</si>
  <si>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</si>
  <si>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</si>
  <si>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</si>
  <si>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</si>
  <si>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</si>
  <si>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</si>
  <si>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</si>
  <si>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</si>
  <si>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</si>
  <si>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</si>
  <si>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</si>
  <si>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</si>
  <si>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</si>
  <si>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</si>
  <si>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</si>
  <si>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</si>
  <si>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</si>
  <si>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</si>
  <si>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</si>
  <si>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</si>
  <si>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</si>
  <si>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</si>
  <si>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</si>
  <si>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</si>
  <si>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</si>
  <si>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</si>
  <si>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</si>
  <si>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</si>
  <si>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</si>
  <si>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</si>
  <si>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</si>
  <si>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</si>
  <si>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</si>
  <si>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</si>
  <si>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</si>
  <si>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</si>
  <si>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</si>
  <si>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</si>
  <si>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</si>
  <si>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</si>
  <si>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</si>
  <si>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</si>
  <si>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</si>
  <si>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</si>
  <si>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</si>
  <si>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</si>
  <si>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</si>
  <si>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</si>
  <si>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</si>
  <si>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</si>
  <si>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</si>
  <si>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</si>
  <si>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</si>
  <si>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</si>
  <si>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</si>
  <si>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</si>
  <si>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</si>
  <si>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</si>
  <si>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</si>
  <si>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</si>
  <si>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</si>
  <si>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</si>
  <si>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</si>
  <si>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</si>
  <si>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</si>
  <si>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</si>
  <si>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</si>
  <si>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</si>
  <si>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</si>
  <si>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</si>
  <si>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</si>
  <si>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</si>
  <si>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</si>
  <si>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</si>
  <si>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</si>
  <si>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</si>
  <si>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</si>
  <si>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</si>
  <si>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</si>
  <si>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</si>
  <si>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</si>
  <si>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</si>
  <si>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</si>
  <si>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</si>
  <si>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</si>
  <si>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</si>
  <si>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</si>
  <si>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</si>
  <si>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</si>
  <si>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</si>
  <si>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</si>
  <si>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</si>
  <si>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</si>
  <si>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</si>
  <si>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</si>
  <si>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</si>
  <si>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</si>
  <si>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</si>
  <si>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</si>
  <si>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</si>
  <si>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</si>
  <si>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</si>
  <si>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</si>
  <si>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</si>
  <si>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</si>
  <si>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</si>
  <si>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</si>
  <si>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</si>
  <si>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</si>
  <si>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</si>
  <si>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</si>
  <si>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</si>
  <si>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</si>
  <si>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</si>
  <si>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</si>
  <si>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</si>
  <si>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</si>
  <si>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</si>
  <si>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</si>
  <si>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</si>
  <si>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</si>
  <si>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</si>
  <si>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</si>
  <si>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</si>
  <si>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</si>
  <si>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</si>
  <si>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</si>
  <si>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</si>
  <si>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</si>
  <si>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</si>
  <si>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</si>
  <si>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</si>
  <si>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</si>
  <si>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</si>
  <si>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</si>
  <si>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</si>
  <si>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</si>
  <si>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</si>
  <si>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</si>
  <si>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</si>
  <si>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</si>
  <si>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</si>
  <si>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</si>
  <si>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</si>
  <si>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</si>
  <si>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</si>
  <si>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</si>
  <si>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</si>
  <si>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</si>
  <si>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</si>
  <si>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</si>
  <si>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</si>
  <si>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</si>
  <si>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</si>
  <si>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</si>
  <si>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</si>
  <si>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</si>
  <si>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</si>
  <si>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</si>
  <si>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</si>
  <si>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</si>
  <si>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</si>
  <si>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</si>
  <si>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</si>
  <si>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</si>
  <si>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</si>
  <si>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</si>
  <si>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</si>
  <si>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</si>
  <si>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</si>
  <si>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</si>
  <si>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</si>
  <si>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</si>
  <si>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</si>
  <si>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</si>
  <si>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</si>
  <si>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</si>
  <si>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</si>
  <si>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</si>
  <si>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</si>
  <si>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</si>
  <si>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</si>
  <si>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</si>
  <si>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</si>
  <si>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</si>
  <si>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</si>
  <si>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</si>
  <si>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</si>
  <si>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</si>
  <si>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</si>
  <si>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</si>
  <si>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</si>
  <si>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</si>
  <si>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</si>
  <si>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</si>
  <si>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</si>
  <si>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</si>
  <si>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</si>
  <si>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</si>
  <si>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</si>
  <si>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</si>
  <si>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</si>
  <si>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</si>
  <si>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</si>
  <si>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</si>
  <si>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</si>
  <si>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</si>
  <si>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</si>
  <si>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</si>
  <si>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</si>
  <si>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</si>
  <si>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</si>
  <si>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</si>
  <si>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</si>
  <si>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</si>
  <si>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</si>
  <si>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</si>
  <si>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</si>
  <si>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</si>
  <si>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</si>
  <si>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</si>
  <si>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</si>
  <si>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</si>
  <si>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</si>
  <si>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</si>
  <si>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</si>
  <si>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</si>
  <si>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</si>
  <si>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</si>
  <si>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</si>
  <si>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</si>
  <si>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</si>
  <si>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</si>
  <si>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</si>
  <si>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</si>
  <si>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</si>
  <si>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</si>
  <si>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</si>
  <si>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</si>
  <si>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</si>
  <si>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</si>
  <si>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</si>
  <si>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</si>
  <si>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</si>
  <si>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</si>
  <si>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</si>
  <si>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</si>
  <si>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</si>
  <si>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</si>
  <si>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</si>
  <si>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</si>
  <si>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</si>
  <si>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</si>
  <si>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</si>
  <si>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</si>
  <si>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</si>
  <si>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</si>
  <si>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</si>
  <si>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</si>
  <si>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</si>
  <si>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</si>
  <si>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</si>
  <si>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</si>
  <si>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</si>
  <si>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</si>
  <si>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</si>
  <si>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</si>
  <si>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</si>
  <si>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</si>
  <si>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</si>
  <si>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</si>
  <si>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</si>
  <si>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</si>
  <si>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</si>
  <si>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</si>
  <si>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</si>
  <si>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</si>
  <si>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</si>
  <si>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</si>
  <si>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</si>
  <si>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</si>
  <si>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</si>
  <si>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</si>
  <si>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</si>
  <si>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</si>
  <si>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</si>
  <si>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</si>
  <si>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</si>
  <si>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</si>
  <si>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</si>
  <si>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</si>
  <si>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</si>
  <si>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</si>
  <si>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</si>
  <si>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</si>
  <si>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</si>
  <si>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</si>
  <si>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</si>
  <si>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</si>
  <si>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</si>
  <si>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</si>
  <si>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</si>
  <si>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</si>
  <si>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</si>
  <si>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</si>
  <si>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</si>
  <si>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</si>
  <si>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</si>
  <si>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</si>
  <si>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</si>
  <si>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</si>
  <si>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</si>
  <si>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</si>
  <si>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</si>
  <si>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</si>
  <si>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</si>
  <si>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</si>
  <si>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</si>
  <si>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</si>
  <si>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</si>
  <si>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</si>
  <si>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</si>
  <si>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</si>
  <si>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</si>
  <si>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</si>
  <si>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</si>
  <si>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</si>
  <si>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</si>
  <si>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</si>
  <si>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</si>
  <si>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</si>
  <si>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</si>
  <si>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</si>
  <si>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</si>
  <si>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</si>
  <si>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</si>
  <si>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</si>
  <si>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</si>
  <si>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</si>
  <si>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</si>
  <si>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</si>
  <si>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</si>
  <si>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</si>
  <si>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</si>
  <si>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</si>
  <si>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</si>
  <si>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</si>
  <si>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</si>
  <si>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</si>
  <si>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</si>
  <si>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</si>
  <si>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</si>
  <si>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</si>
  <si>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</si>
  <si>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</si>
  <si>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</si>
  <si>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</si>
  <si>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</si>
  <si>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</si>
  <si>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</si>
  <si>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</si>
  <si>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</si>
  <si>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</si>
  <si>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</si>
  <si>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</si>
  <si>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</si>
  <si>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</si>
  <si>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</si>
  <si>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</si>
  <si>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</si>
  <si>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</si>
  <si>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</si>
  <si>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</si>
  <si>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</si>
  <si>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</si>
  <si>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</si>
  <si>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</si>
  <si>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</si>
  <si>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</si>
  <si>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</si>
  <si>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</si>
  <si>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</si>
  <si>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</si>
  <si>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</si>
  <si>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</si>
  <si>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</si>
  <si>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</si>
  <si>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</si>
  <si>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</si>
  <si>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</si>
  <si>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</si>
  <si>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</si>
  <si>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</si>
  <si>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</si>
  <si>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</si>
  <si>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</si>
  <si>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</si>
  <si>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</si>
  <si>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</si>
  <si>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</si>
  <si>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</si>
  <si>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</si>
  <si>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</si>
  <si>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</si>
  <si>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</si>
  <si>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</si>
  <si>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</si>
  <si>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</si>
  <si>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</si>
  <si>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</si>
  <si>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</si>
  <si>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</si>
  <si>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</si>
  <si>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</si>
  <si>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</si>
  <si>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</si>
  <si>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</si>
  <si>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</si>
  <si>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</si>
  <si>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</si>
  <si>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</si>
  <si>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</si>
  <si>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</si>
  <si>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</si>
  <si>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</si>
  <si>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</si>
  <si>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</si>
  <si>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</si>
  <si>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</si>
  <si>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</si>
  <si>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</si>
  <si>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</si>
  <si>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</si>
  <si>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</si>
  <si>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</si>
  <si>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</si>
  <si>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</si>
  <si>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</si>
  <si>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</si>
  <si>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</si>
  <si>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</si>
  <si>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</si>
  <si>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</si>
  <si>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</si>
  <si>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</si>
  <si>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</si>
  <si>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</si>
  <si>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</si>
  <si>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</si>
  <si>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</si>
  <si>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</si>
  <si>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</si>
  <si>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</si>
  <si>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</si>
  <si>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</si>
  <si>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</si>
  <si>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</si>
  <si>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</si>
  <si>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</si>
  <si>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</si>
  <si>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</si>
  <si>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</si>
  <si>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</si>
  <si>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</si>
  <si>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</si>
  <si>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</si>
  <si>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</si>
  <si>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</si>
  <si>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</si>
  <si>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</si>
  <si>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</si>
  <si>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</si>
  <si>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</si>
  <si>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</si>
  <si>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</si>
  <si>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</si>
  <si>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</si>
  <si>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</si>
  <si>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</si>
  <si>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</si>
  <si>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</si>
  <si>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</si>
  <si>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</si>
  <si>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</si>
  <si>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</si>
  <si>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</si>
  <si>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</si>
  <si>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</si>
  <si>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</si>
  <si>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</si>
  <si>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</si>
  <si>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</si>
  <si>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</si>
  <si>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</si>
  <si>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</si>
  <si>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</si>
  <si>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</si>
  <si>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</si>
  <si>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</si>
  <si>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</si>
  <si>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</si>
  <si>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</si>
  <si>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</si>
  <si>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</si>
  <si>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</si>
  <si>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</si>
  <si>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</si>
  <si>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</si>
  <si>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</si>
  <si>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</si>
  <si>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</si>
  <si>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</si>
  <si>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</si>
  <si>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</si>
  <si>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</si>
  <si>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</si>
  <si>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</si>
  <si>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</si>
  <si>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</si>
  <si>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</si>
  <si>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</si>
  <si>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</si>
  <si>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</si>
  <si>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</si>
  <si>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</si>
  <si>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</si>
  <si>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</si>
  <si>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</si>
  <si>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</si>
  <si>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</si>
  <si>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</si>
  <si>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</si>
  <si>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</si>
  <si>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</si>
  <si>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</si>
  <si>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</si>
  <si>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</si>
  <si>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</si>
  <si>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</si>
  <si>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</si>
  <si>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</si>
  <si>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</si>
  <si>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</si>
  <si>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</si>
  <si>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</si>
  <si>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</si>
  <si>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</si>
  <si>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</si>
  <si>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</si>
  <si>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</si>
  <si>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</si>
  <si>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</si>
  <si>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</si>
  <si>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</si>
  <si>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</si>
  <si>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</si>
  <si>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</si>
  <si>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</si>
  <si>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</si>
  <si>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</si>
  <si>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</si>
  <si>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</si>
  <si>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</si>
  <si>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</si>
  <si>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</si>
  <si>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</si>
  <si>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</si>
  <si>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</si>
  <si>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</si>
  <si>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</si>
  <si>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</si>
  <si>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</si>
  <si>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</si>
  <si>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</si>
  <si>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</si>
  <si>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</si>
  <si>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</si>
  <si>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</si>
  <si>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</si>
  <si>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</si>
  <si>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</si>
  <si>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</si>
  <si>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</si>
  <si>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</si>
  <si>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</si>
  <si>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</si>
  <si>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</si>
  <si>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</si>
  <si>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</si>
  <si>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</si>
  <si>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</si>
  <si>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</si>
  <si>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</si>
  <si>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</si>
  <si>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</si>
  <si>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</si>
  <si>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</si>
  <si>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</si>
  <si>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</si>
  <si>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</si>
  <si>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</si>
  <si>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</si>
  <si>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</si>
  <si>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</si>
  <si>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</si>
  <si>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</si>
  <si>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</si>
  <si>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</si>
  <si>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</si>
  <si>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</si>
  <si>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</si>
  <si>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</si>
  <si>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</si>
  <si>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</si>
  <si>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</si>
  <si>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</si>
  <si>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</si>
  <si>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</si>
  <si>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</si>
  <si>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</si>
  <si>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</si>
  <si>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</si>
  <si>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</si>
  <si>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</si>
  <si>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</si>
  <si>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</si>
  <si>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</si>
  <si>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</si>
  <si>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</si>
  <si>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</si>
  <si>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</si>
  <si>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</si>
  <si>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</si>
  <si>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</si>
  <si>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</si>
  <si>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</si>
  <si>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</si>
  <si>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</si>
  <si>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</si>
  <si>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</si>
  <si>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</si>
  <si>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</si>
  <si>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</si>
  <si>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</si>
  <si>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</si>
  <si>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</si>
  <si>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</si>
  <si>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</si>
  <si>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</si>
  <si>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</si>
  <si>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</si>
  <si>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</si>
  <si>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</si>
  <si>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</si>
  <si>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</si>
  <si>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</si>
  <si>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</si>
  <si>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</si>
  <si>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..\..\data\青森県眼科医会名簿_令和6年度.xlsm</t>
  </si>
  <si>
    <t>C:\Users\aogan\OneDrive\デスクトップ\青森県眼科医会\県年会費\納入案内\会費納入案内 令和6年度.docx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</si>
</sst>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6</v>
      </c>
    </row>
    <row r="3" spans="1:1">
      <c r="A3" t="s">
        <v>5</v>
      </c>
    </row>
    <row r="4" spans="1:1">
      <c r="A4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15" spans="1:1">
      <c r="A15" t="s">
        <v>1062</v>
      </c>
    </row>
  </sheetData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tabSelected="1" workbookViewId="0">
      <selection activeCell="B14" sqref="B14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1086</v>
      </c>
    </row>
    <row r="3" spans="1:3">
      <c r="A3" t="s">
        <v>1</v>
      </c>
      <c r="B3" t="s">
        <v>1087</v>
      </c>
    </row>
    <row r="4" spans="1:3">
      <c r="A4" t="s">
        <v>2</v>
      </c>
      <c r="B4" t="s">
        <v>3</v>
      </c>
      <c r="C4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453125" style="4" bestFit="1" customWidth="1"/>
    <col min="30" max="16384" width="8.6328125" style="4"/>
  </cols>
  <sheetData>
    <row r="1" spans="1:29" ht="18.5">
      <c r="B1" s="5" t="s">
        <v>12</v>
      </c>
      <c r="M1" s="6">
        <f ca="1">TODAY()</f>
        <v>45536</v>
      </c>
      <c r="N1" s="4" t="s">
        <v>13</v>
      </c>
    </row>
    <row r="3" spans="1:29" ht="29">
      <c r="A3" s="7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 t="s">
        <v>20</v>
      </c>
      <c r="H3" s="8" t="s">
        <v>21</v>
      </c>
      <c r="I3" s="9" t="s">
        <v>22</v>
      </c>
      <c r="J3" s="9" t="s">
        <v>23</v>
      </c>
      <c r="K3" s="9" t="s">
        <v>24</v>
      </c>
      <c r="L3" s="9" t="s">
        <v>25</v>
      </c>
      <c r="M3" s="8" t="s">
        <v>26</v>
      </c>
      <c r="N3" s="8" t="s">
        <v>27</v>
      </c>
      <c r="O3" s="8" t="s">
        <v>28</v>
      </c>
      <c r="P3" s="9" t="s">
        <v>29</v>
      </c>
      <c r="Q3" s="8" t="s">
        <v>30</v>
      </c>
      <c r="R3" s="8" t="s">
        <v>31</v>
      </c>
      <c r="S3" s="9" t="s">
        <v>32</v>
      </c>
      <c r="T3" s="8" t="s">
        <v>33</v>
      </c>
      <c r="U3" s="10" t="s">
        <v>34</v>
      </c>
      <c r="V3" s="10" t="s">
        <v>35</v>
      </c>
      <c r="W3" s="11" t="s">
        <v>36</v>
      </c>
      <c r="X3" s="10" t="s">
        <v>37</v>
      </c>
      <c r="Y3" s="12" t="s">
        <v>38</v>
      </c>
      <c r="Z3" s="4" t="s">
        <v>39</v>
      </c>
      <c r="AA3" s="4" t="s">
        <v>40</v>
      </c>
      <c r="AB3" s="4" t="s">
        <v>1055</v>
      </c>
      <c r="AC3" s="4" t="s">
        <v>1054</v>
      </c>
    </row>
    <row r="4" spans="1:29" ht="24" customHeight="1">
      <c r="A4" s="7" t="s">
        <v>41</v>
      </c>
      <c r="B4" s="8">
        <v>1</v>
      </c>
      <c r="C4" s="13" t="s">
        <v>42</v>
      </c>
      <c r="D4" s="13" t="s">
        <v>43</v>
      </c>
      <c r="E4" s="14" t="s">
        <v>44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45</v>
      </c>
      <c r="N4" s="13" t="s">
        <v>46</v>
      </c>
      <c r="O4" s="19" t="s">
        <v>47</v>
      </c>
      <c r="P4" s="13" t="s">
        <v>48</v>
      </c>
      <c r="Q4" s="13" t="s">
        <v>49</v>
      </c>
      <c r="R4" s="19" t="s">
        <v>50</v>
      </c>
      <c r="S4" s="20" t="s">
        <v>51</v>
      </c>
      <c r="T4" s="13"/>
      <c r="U4" s="21"/>
      <c r="V4" s="21" t="s">
        <v>52</v>
      </c>
      <c r="W4" s="21" t="s">
        <v>53</v>
      </c>
      <c r="Z4" s="4" t="s">
        <v>54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55</v>
      </c>
      <c r="D5" s="13" t="s">
        <v>56</v>
      </c>
      <c r="E5" s="14" t="s">
        <v>57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58</v>
      </c>
      <c r="N5" s="13" t="s">
        <v>59</v>
      </c>
      <c r="O5" s="19" t="s">
        <v>60</v>
      </c>
      <c r="P5" s="13" t="s">
        <v>61</v>
      </c>
      <c r="Q5" s="13" t="s">
        <v>62</v>
      </c>
      <c r="R5" s="19" t="s">
        <v>63</v>
      </c>
      <c r="S5" s="20" t="s">
        <v>64</v>
      </c>
      <c r="T5" s="13"/>
      <c r="U5" s="21"/>
      <c r="V5" s="21"/>
      <c r="W5" s="21" t="s">
        <v>65</v>
      </c>
      <c r="Z5" s="4" t="s">
        <v>66</v>
      </c>
      <c r="AA5" s="4" t="s">
        <v>67</v>
      </c>
      <c r="AB5" s="4">
        <v>1</v>
      </c>
    </row>
    <row r="6" spans="1:29" ht="24" customHeight="1">
      <c r="A6" s="7"/>
      <c r="B6" s="8">
        <v>3</v>
      </c>
      <c r="C6" s="13" t="s">
        <v>68</v>
      </c>
      <c r="D6" s="13" t="s">
        <v>69</v>
      </c>
      <c r="E6" s="8" t="s">
        <v>70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71</v>
      </c>
      <c r="N6" s="13" t="s">
        <v>72</v>
      </c>
      <c r="O6" s="19" t="s">
        <v>73</v>
      </c>
      <c r="P6" s="13" t="s">
        <v>74</v>
      </c>
      <c r="Q6" s="13" t="s">
        <v>72</v>
      </c>
      <c r="R6" s="19" t="s">
        <v>75</v>
      </c>
      <c r="S6" s="20" t="s">
        <v>76</v>
      </c>
      <c r="T6" s="13"/>
      <c r="U6" s="21"/>
      <c r="V6" s="21"/>
      <c r="W6" s="21" t="s">
        <v>65</v>
      </c>
      <c r="Z6" s="4" t="s">
        <v>77</v>
      </c>
      <c r="AA6" s="4" t="s">
        <v>78</v>
      </c>
      <c r="AB6" s="4">
        <v>1</v>
      </c>
    </row>
    <row r="7" spans="1:29" ht="24" customHeight="1">
      <c r="A7" s="7"/>
      <c r="B7" s="8">
        <v>4</v>
      </c>
      <c r="C7" s="13" t="s">
        <v>79</v>
      </c>
      <c r="D7" s="13" t="s">
        <v>80</v>
      </c>
      <c r="E7" s="8" t="s">
        <v>70</v>
      </c>
      <c r="F7" s="15">
        <v>25437</v>
      </c>
      <c r="G7" s="16" t="e">
        <f t="shared" si="0"/>
        <v>#N/A</v>
      </c>
      <c r="H7" s="17">
        <f t="shared" ca="1" si="1"/>
        <v>55</v>
      </c>
      <c r="I7" s="13">
        <v>370322</v>
      </c>
      <c r="J7" s="15">
        <v>34817</v>
      </c>
      <c r="K7" s="15"/>
      <c r="L7" s="18"/>
      <c r="M7" s="13" t="s">
        <v>81</v>
      </c>
      <c r="N7" s="13" t="s">
        <v>82</v>
      </c>
      <c r="O7" s="19" t="s">
        <v>83</v>
      </c>
      <c r="P7" s="13" t="s">
        <v>84</v>
      </c>
      <c r="Q7" s="13" t="s">
        <v>85</v>
      </c>
      <c r="R7" s="19" t="s">
        <v>86</v>
      </c>
      <c r="S7" s="20" t="s">
        <v>87</v>
      </c>
      <c r="T7" s="13"/>
      <c r="U7" s="21"/>
      <c r="V7" s="21"/>
      <c r="W7" s="21" t="s">
        <v>53</v>
      </c>
      <c r="Z7" s="4" t="s">
        <v>88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89</v>
      </c>
      <c r="D8" s="13" t="s">
        <v>90</v>
      </c>
      <c r="E8" s="8" t="s">
        <v>91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92</v>
      </c>
      <c r="N8" s="13" t="s">
        <v>93</v>
      </c>
      <c r="O8" s="19" t="s">
        <v>94</v>
      </c>
      <c r="P8" s="13" t="s">
        <v>95</v>
      </c>
      <c r="Q8" s="13" t="s">
        <v>96</v>
      </c>
      <c r="R8" s="19" t="s">
        <v>97</v>
      </c>
      <c r="S8" s="20" t="s">
        <v>98</v>
      </c>
      <c r="T8" s="13"/>
      <c r="U8" s="21"/>
      <c r="V8" s="21"/>
      <c r="W8" s="21" t="s">
        <v>99</v>
      </c>
      <c r="X8" s="4" t="s">
        <v>100</v>
      </c>
      <c r="Z8" s="4" t="s">
        <v>101</v>
      </c>
      <c r="AA8" s="4" t="s">
        <v>102</v>
      </c>
      <c r="AB8" s="4">
        <v>1</v>
      </c>
    </row>
    <row r="9" spans="1:29" ht="24" customHeight="1">
      <c r="A9" s="7"/>
      <c r="B9" s="8">
        <v>6</v>
      </c>
      <c r="C9" s="13" t="s">
        <v>103</v>
      </c>
      <c r="D9" s="13" t="s">
        <v>104</v>
      </c>
      <c r="E9" s="8" t="s">
        <v>91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105</v>
      </c>
      <c r="N9" s="13" t="s">
        <v>106</v>
      </c>
      <c r="O9" s="19" t="s">
        <v>107</v>
      </c>
      <c r="P9" s="13" t="s">
        <v>108</v>
      </c>
      <c r="Q9" s="13" t="s">
        <v>106</v>
      </c>
      <c r="R9" s="19" t="s">
        <v>109</v>
      </c>
      <c r="S9" s="20" t="s">
        <v>110</v>
      </c>
      <c r="T9" s="13"/>
      <c r="U9" s="22"/>
      <c r="V9" s="22" t="s">
        <v>52</v>
      </c>
      <c r="W9" s="22" t="s">
        <v>65</v>
      </c>
      <c r="Z9" s="4" t="s">
        <v>111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112</v>
      </c>
      <c r="D10" s="13" t="s">
        <v>113</v>
      </c>
      <c r="E10" s="23" t="s">
        <v>44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114</v>
      </c>
      <c r="N10" s="24" t="s">
        <v>115</v>
      </c>
      <c r="O10" s="25" t="s">
        <v>116</v>
      </c>
      <c r="P10" s="26" t="s">
        <v>117</v>
      </c>
      <c r="Q10" s="13" t="s">
        <v>118</v>
      </c>
      <c r="R10" s="19" t="s">
        <v>119</v>
      </c>
      <c r="S10" s="20" t="s">
        <v>120</v>
      </c>
      <c r="T10" s="13"/>
      <c r="U10" s="22"/>
      <c r="V10" s="22"/>
      <c r="W10" s="22" t="s">
        <v>53</v>
      </c>
      <c r="Z10" s="4" t="s">
        <v>121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122</v>
      </c>
      <c r="D11" s="13" t="s">
        <v>123</v>
      </c>
      <c r="E11" s="23" t="s">
        <v>70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124</v>
      </c>
      <c r="N11" s="24" t="s">
        <v>125</v>
      </c>
      <c r="O11" s="25" t="s">
        <v>126</v>
      </c>
      <c r="P11" s="26" t="s">
        <v>127</v>
      </c>
      <c r="Q11" s="13" t="s">
        <v>128</v>
      </c>
      <c r="R11" s="19" t="s">
        <v>129</v>
      </c>
      <c r="S11" s="20"/>
      <c r="T11" s="20" t="s">
        <v>130</v>
      </c>
      <c r="U11" s="1" t="s">
        <v>131</v>
      </c>
      <c r="V11" s="22"/>
      <c r="W11" s="27" t="s">
        <v>132</v>
      </c>
      <c r="Z11" s="28" t="s">
        <v>133</v>
      </c>
      <c r="AA11" s="28" t="s">
        <v>134</v>
      </c>
      <c r="AB11" s="4">
        <v>1</v>
      </c>
    </row>
    <row r="12" spans="1:29" ht="24" customHeight="1">
      <c r="A12" s="7"/>
      <c r="B12" s="8">
        <v>8</v>
      </c>
      <c r="C12" s="13" t="s">
        <v>135</v>
      </c>
      <c r="D12" s="13" t="s">
        <v>136</v>
      </c>
      <c r="E12" s="8" t="s">
        <v>91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137</v>
      </c>
      <c r="N12" s="13" t="s">
        <v>138</v>
      </c>
      <c r="O12" s="19" t="s">
        <v>139</v>
      </c>
      <c r="P12" s="13" t="s">
        <v>140</v>
      </c>
      <c r="Q12" s="13" t="s">
        <v>141</v>
      </c>
      <c r="R12" s="19" t="s">
        <v>142</v>
      </c>
      <c r="S12" s="20" t="s">
        <v>143</v>
      </c>
      <c r="T12" s="13"/>
      <c r="U12" s="21"/>
      <c r="V12" s="21"/>
      <c r="W12" s="21" t="s">
        <v>65</v>
      </c>
      <c r="Z12" s="4" t="s">
        <v>144</v>
      </c>
      <c r="AA12" s="4" t="s">
        <v>145</v>
      </c>
      <c r="AB12" s="4">
        <v>1</v>
      </c>
    </row>
    <row r="13" spans="1:29" ht="24" customHeight="1">
      <c r="A13" s="7"/>
      <c r="B13" s="8">
        <v>9</v>
      </c>
      <c r="C13" s="13" t="s">
        <v>146</v>
      </c>
      <c r="D13" s="13" t="s">
        <v>147</v>
      </c>
      <c r="E13" s="8" t="s">
        <v>70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148</v>
      </c>
      <c r="N13" s="13" t="s">
        <v>149</v>
      </c>
      <c r="O13" s="19" t="s">
        <v>150</v>
      </c>
      <c r="P13" s="13" t="s">
        <v>151</v>
      </c>
      <c r="Q13" s="13" t="s">
        <v>152</v>
      </c>
      <c r="R13" s="19" t="s">
        <v>153</v>
      </c>
      <c r="S13" s="20"/>
      <c r="T13" s="13" t="s">
        <v>154</v>
      </c>
      <c r="U13" s="22"/>
      <c r="V13" s="22"/>
      <c r="W13" s="27" t="s">
        <v>155</v>
      </c>
      <c r="Y13" s="6">
        <v>44713</v>
      </c>
      <c r="Z13" s="4" t="s">
        <v>156</v>
      </c>
      <c r="AA13" s="4" t="s">
        <v>157</v>
      </c>
      <c r="AB13" s="4">
        <v>1</v>
      </c>
    </row>
    <row r="14" spans="1:29" ht="24" customHeight="1">
      <c r="A14" s="7"/>
      <c r="B14" s="8">
        <v>10</v>
      </c>
      <c r="C14" s="13" t="s">
        <v>158</v>
      </c>
      <c r="D14" s="13" t="s">
        <v>159</v>
      </c>
      <c r="E14" s="23" t="s">
        <v>44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160</v>
      </c>
      <c r="N14" s="13" t="s">
        <v>161</v>
      </c>
      <c r="O14" s="19" t="s">
        <v>162</v>
      </c>
      <c r="P14" s="13" t="s">
        <v>163</v>
      </c>
      <c r="Q14" s="13" t="s">
        <v>164</v>
      </c>
      <c r="R14" s="19" t="s">
        <v>165</v>
      </c>
      <c r="S14" s="20" t="s">
        <v>166</v>
      </c>
      <c r="T14" s="13"/>
      <c r="U14" s="21"/>
      <c r="V14" s="21"/>
      <c r="W14" s="21" t="s">
        <v>65</v>
      </c>
      <c r="Z14" s="4" t="s">
        <v>167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168</v>
      </c>
      <c r="D15" s="13" t="s">
        <v>169</v>
      </c>
      <c r="E15" s="23" t="s">
        <v>57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170</v>
      </c>
      <c r="N15" s="13" t="s">
        <v>171</v>
      </c>
      <c r="O15" s="19" t="s">
        <v>172</v>
      </c>
      <c r="P15" s="13" t="s">
        <v>173</v>
      </c>
      <c r="Q15" s="13" t="s">
        <v>174</v>
      </c>
      <c r="R15" s="19" t="s">
        <v>175</v>
      </c>
      <c r="S15" s="20" t="s">
        <v>176</v>
      </c>
      <c r="T15" s="13"/>
      <c r="U15" s="22"/>
      <c r="V15" s="22"/>
      <c r="W15" s="22" t="s">
        <v>65</v>
      </c>
      <c r="Z15" s="4" t="s">
        <v>177</v>
      </c>
      <c r="AA15" s="4" t="s">
        <v>178</v>
      </c>
      <c r="AB15" s="4">
        <v>1</v>
      </c>
    </row>
    <row r="16" spans="1:29" ht="24" customHeight="1">
      <c r="A16" s="7"/>
      <c r="B16" s="8">
        <v>12</v>
      </c>
      <c r="C16" s="13" t="s">
        <v>179</v>
      </c>
      <c r="D16" s="13" t="s">
        <v>180</v>
      </c>
      <c r="E16" s="8" t="s">
        <v>70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181</v>
      </c>
      <c r="N16" s="13" t="s">
        <v>182</v>
      </c>
      <c r="O16" s="19" t="s">
        <v>183</v>
      </c>
      <c r="P16" s="13" t="s">
        <v>184</v>
      </c>
      <c r="Q16" s="13" t="s">
        <v>185</v>
      </c>
      <c r="R16" s="19" t="s">
        <v>186</v>
      </c>
      <c r="S16" s="20" t="s">
        <v>187</v>
      </c>
      <c r="T16" s="13"/>
      <c r="U16" s="21"/>
      <c r="V16" s="21" t="s">
        <v>188</v>
      </c>
      <c r="W16" s="21" t="s">
        <v>65</v>
      </c>
      <c r="Z16" s="4" t="s">
        <v>189</v>
      </c>
      <c r="AA16" s="4" t="s">
        <v>190</v>
      </c>
      <c r="AB16" s="4">
        <v>1</v>
      </c>
    </row>
    <row r="17" spans="1:28" ht="24" customHeight="1">
      <c r="A17" s="7"/>
      <c r="B17" s="8">
        <f>B16+1</f>
        <v>13</v>
      </c>
      <c r="C17" s="13" t="s">
        <v>191</v>
      </c>
      <c r="D17" s="13" t="s">
        <v>192</v>
      </c>
      <c r="E17" s="8" t="s">
        <v>70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124</v>
      </c>
      <c r="N17" s="13" t="s">
        <v>125</v>
      </c>
      <c r="O17" s="19" t="s">
        <v>193</v>
      </c>
      <c r="P17" s="13" t="s">
        <v>127</v>
      </c>
      <c r="Q17" s="13" t="s">
        <v>194</v>
      </c>
      <c r="R17" s="19" t="s">
        <v>195</v>
      </c>
      <c r="S17" s="20"/>
      <c r="T17" s="13" t="s">
        <v>196</v>
      </c>
      <c r="U17" s="1" t="s">
        <v>197</v>
      </c>
      <c r="V17" s="22"/>
      <c r="W17" s="27" t="s">
        <v>132</v>
      </c>
      <c r="Z17" s="28" t="s">
        <v>198</v>
      </c>
      <c r="AA17" s="28" t="s">
        <v>199</v>
      </c>
      <c r="AB17" s="4">
        <v>1</v>
      </c>
    </row>
    <row r="18" spans="1:28" ht="24" customHeight="1">
      <c r="A18" s="7"/>
      <c r="B18" s="8">
        <f>B16+1</f>
        <v>13</v>
      </c>
      <c r="C18" s="13" t="s">
        <v>200</v>
      </c>
      <c r="D18" s="13" t="s">
        <v>201</v>
      </c>
      <c r="E18" s="8" t="s">
        <v>57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124</v>
      </c>
      <c r="N18" s="13" t="s">
        <v>125</v>
      </c>
      <c r="O18" s="19" t="s">
        <v>193</v>
      </c>
      <c r="P18" s="13" t="s">
        <v>127</v>
      </c>
      <c r="Q18" s="13" t="s">
        <v>202</v>
      </c>
      <c r="R18" s="19" t="s">
        <v>203</v>
      </c>
      <c r="S18" s="20"/>
      <c r="T18" s="13" t="s">
        <v>204</v>
      </c>
      <c r="U18" s="1" t="s">
        <v>205</v>
      </c>
      <c r="V18" s="22"/>
      <c r="W18" s="27" t="s">
        <v>132</v>
      </c>
      <c r="Z18" s="28" t="s">
        <v>206</v>
      </c>
      <c r="AA18" s="28" t="s">
        <v>207</v>
      </c>
      <c r="AB18" s="4">
        <v>1</v>
      </c>
    </row>
    <row r="19" spans="1:28" ht="24" customHeight="1">
      <c r="A19" s="7" t="s">
        <v>208</v>
      </c>
      <c r="B19" s="8">
        <v>13</v>
      </c>
      <c r="C19" s="13" t="s">
        <v>209</v>
      </c>
      <c r="D19" s="13" t="s">
        <v>210</v>
      </c>
      <c r="E19" s="8" t="s">
        <v>70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211</v>
      </c>
      <c r="N19" s="13" t="s">
        <v>212</v>
      </c>
      <c r="O19" s="19" t="s">
        <v>213</v>
      </c>
      <c r="P19" s="13" t="s">
        <v>214</v>
      </c>
      <c r="Q19" s="13" t="s">
        <v>215</v>
      </c>
      <c r="R19" s="19" t="s">
        <v>216</v>
      </c>
      <c r="S19" s="20" t="s">
        <v>217</v>
      </c>
      <c r="T19" s="13"/>
      <c r="U19" s="22"/>
      <c r="V19" s="22"/>
      <c r="W19" s="22" t="s">
        <v>65</v>
      </c>
      <c r="Z19" s="4" t="s">
        <v>218</v>
      </c>
      <c r="AA19" s="4" t="s">
        <v>219</v>
      </c>
      <c r="AB19" s="4">
        <v>1</v>
      </c>
    </row>
    <row r="20" spans="1:28" ht="24" customHeight="1">
      <c r="A20" s="7"/>
      <c r="B20" s="8">
        <v>14</v>
      </c>
      <c r="C20" s="13" t="s">
        <v>220</v>
      </c>
      <c r="D20" s="13" t="s">
        <v>221</v>
      </c>
      <c r="E20" s="23" t="s">
        <v>57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222</v>
      </c>
      <c r="N20" s="13" t="s">
        <v>212</v>
      </c>
      <c r="O20" s="19" t="s">
        <v>213</v>
      </c>
      <c r="P20" s="13" t="s">
        <v>214</v>
      </c>
      <c r="Q20" s="13" t="s">
        <v>212</v>
      </c>
      <c r="R20" s="19" t="s">
        <v>223</v>
      </c>
      <c r="S20" s="20" t="s">
        <v>224</v>
      </c>
      <c r="T20" s="13"/>
      <c r="U20" s="22"/>
      <c r="V20" s="22"/>
      <c r="W20" s="22" t="s">
        <v>53</v>
      </c>
      <c r="Z20" s="4" t="s">
        <v>225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226</v>
      </c>
      <c r="D21" s="13" t="s">
        <v>227</v>
      </c>
      <c r="E21" s="8" t="s">
        <v>70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228</v>
      </c>
      <c r="N21" s="13" t="s">
        <v>229</v>
      </c>
      <c r="O21" s="19" t="s">
        <v>230</v>
      </c>
      <c r="P21" s="13" t="s">
        <v>231</v>
      </c>
      <c r="Q21" s="13" t="s">
        <v>232</v>
      </c>
      <c r="R21" s="19" t="s">
        <v>233</v>
      </c>
      <c r="S21" s="20" t="s">
        <v>234</v>
      </c>
      <c r="T21" s="13"/>
      <c r="U21" s="22"/>
      <c r="V21" s="22" t="s">
        <v>52</v>
      </c>
      <c r="W21" s="22" t="s">
        <v>53</v>
      </c>
      <c r="Z21" s="4" t="s">
        <v>235</v>
      </c>
      <c r="AA21" s="4" t="s">
        <v>236</v>
      </c>
      <c r="AB21" s="4">
        <v>1</v>
      </c>
    </row>
    <row r="22" spans="1:28" ht="24" customHeight="1">
      <c r="A22" s="7"/>
      <c r="B22" s="8">
        <v>16</v>
      </c>
      <c r="C22" s="13" t="s">
        <v>237</v>
      </c>
      <c r="D22" s="13" t="s">
        <v>238</v>
      </c>
      <c r="E22" s="23" t="s">
        <v>57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239</v>
      </c>
      <c r="M22" s="13"/>
      <c r="N22" s="13"/>
      <c r="O22" s="19"/>
      <c r="P22" s="13"/>
      <c r="Q22" s="13" t="s">
        <v>232</v>
      </c>
      <c r="R22" s="19" t="s">
        <v>233</v>
      </c>
      <c r="S22" s="20" t="s">
        <v>234</v>
      </c>
      <c r="T22" s="13"/>
      <c r="U22" s="22"/>
      <c r="V22" s="22"/>
      <c r="W22" s="22" t="s">
        <v>53</v>
      </c>
      <c r="Z22" s="4" t="s">
        <v>240</v>
      </c>
      <c r="AA22" s="4" t="s">
        <v>241</v>
      </c>
      <c r="AB22" s="4">
        <v>1</v>
      </c>
    </row>
    <row r="23" spans="1:28" ht="24" customHeight="1">
      <c r="A23" s="7"/>
      <c r="B23" s="8">
        <v>17</v>
      </c>
      <c r="C23" s="13" t="s">
        <v>242</v>
      </c>
      <c r="D23" s="13" t="s">
        <v>243</v>
      </c>
      <c r="E23" s="14" t="s">
        <v>44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244</v>
      </c>
      <c r="N23" s="13" t="s">
        <v>245</v>
      </c>
      <c r="O23" s="19" t="s">
        <v>246</v>
      </c>
      <c r="P23" s="13" t="s">
        <v>247</v>
      </c>
      <c r="Q23" s="13" t="s">
        <v>248</v>
      </c>
      <c r="R23" s="19" t="s">
        <v>249</v>
      </c>
      <c r="S23" s="20" t="s">
        <v>250</v>
      </c>
      <c r="T23" s="13"/>
      <c r="U23" s="22"/>
      <c r="V23" s="22"/>
      <c r="W23" s="22" t="s">
        <v>53</v>
      </c>
      <c r="Z23" s="4" t="s">
        <v>251</v>
      </c>
      <c r="AA23" s="4" t="s">
        <v>252</v>
      </c>
      <c r="AB23" s="4">
        <v>1</v>
      </c>
    </row>
    <row r="24" spans="1:28" ht="24" customHeight="1">
      <c r="A24" s="7"/>
      <c r="B24" s="8">
        <v>18</v>
      </c>
      <c r="C24" s="13" t="s">
        <v>253</v>
      </c>
      <c r="D24" s="13" t="s">
        <v>254</v>
      </c>
      <c r="E24" s="8" t="s">
        <v>91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255</v>
      </c>
      <c r="N24" s="13" t="s">
        <v>256</v>
      </c>
      <c r="O24" s="19" t="s">
        <v>257</v>
      </c>
      <c r="P24" s="13" t="s">
        <v>258</v>
      </c>
      <c r="Q24" s="13" t="s">
        <v>259</v>
      </c>
      <c r="R24" s="19" t="s">
        <v>260</v>
      </c>
      <c r="S24" s="20" t="s">
        <v>261</v>
      </c>
      <c r="T24" s="13"/>
      <c r="U24" s="29" t="s">
        <v>1056</v>
      </c>
      <c r="V24" s="21" t="s">
        <v>52</v>
      </c>
      <c r="W24" s="21" t="s">
        <v>65</v>
      </c>
      <c r="Z24" s="4" t="s">
        <v>262</v>
      </c>
      <c r="AA24" s="4" t="s">
        <v>263</v>
      </c>
      <c r="AB24" s="4">
        <v>1</v>
      </c>
    </row>
    <row r="25" spans="1:28" ht="24" customHeight="1">
      <c r="A25" s="7"/>
      <c r="B25" s="8">
        <v>19</v>
      </c>
      <c r="C25" s="13" t="s">
        <v>264</v>
      </c>
      <c r="D25" s="13" t="s">
        <v>265</v>
      </c>
      <c r="E25" s="8" t="s">
        <v>91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266</v>
      </c>
      <c r="R25" s="19" t="s">
        <v>267</v>
      </c>
      <c r="S25" s="20" t="s">
        <v>268</v>
      </c>
      <c r="T25" s="13"/>
      <c r="U25" s="21"/>
      <c r="V25" s="21"/>
      <c r="W25" s="21" t="s">
        <v>99</v>
      </c>
      <c r="Z25" s="4" t="s">
        <v>269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270</v>
      </c>
      <c r="D26" s="13" t="s">
        <v>271</v>
      </c>
      <c r="E26" s="8" t="s">
        <v>91</v>
      </c>
      <c r="F26" s="15">
        <v>25067</v>
      </c>
      <c r="G26" s="16" t="e">
        <f t="shared" si="0"/>
        <v>#N/A</v>
      </c>
      <c r="H26" s="17">
        <f t="shared" ca="1" si="1"/>
        <v>56</v>
      </c>
      <c r="I26" s="13">
        <v>370333</v>
      </c>
      <c r="J26" s="15">
        <v>34817</v>
      </c>
      <c r="K26" s="15">
        <v>36314</v>
      </c>
      <c r="L26" s="18"/>
      <c r="M26" s="13" t="s">
        <v>81</v>
      </c>
      <c r="N26" s="13" t="s">
        <v>82</v>
      </c>
      <c r="O26" s="19" t="s">
        <v>83</v>
      </c>
      <c r="P26" s="13" t="s">
        <v>84</v>
      </c>
      <c r="Q26" s="13" t="s">
        <v>272</v>
      </c>
      <c r="R26" s="19" t="s">
        <v>273</v>
      </c>
      <c r="S26" s="20" t="s">
        <v>274</v>
      </c>
      <c r="T26" s="13"/>
      <c r="U26" s="21"/>
      <c r="V26" s="21"/>
      <c r="W26" s="21" t="s">
        <v>65</v>
      </c>
      <c r="Z26" s="4" t="s">
        <v>275</v>
      </c>
      <c r="AA26" s="4" t="s">
        <v>276</v>
      </c>
      <c r="AB26" s="4">
        <v>1</v>
      </c>
    </row>
    <row r="27" spans="1:28" ht="24" customHeight="1">
      <c r="A27" s="7"/>
      <c r="B27" s="8">
        <v>21</v>
      </c>
      <c r="C27" s="13" t="s">
        <v>277</v>
      </c>
      <c r="D27" s="13" t="s">
        <v>278</v>
      </c>
      <c r="E27" s="23" t="s">
        <v>44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279</v>
      </c>
      <c r="R27" s="19" t="s">
        <v>280</v>
      </c>
      <c r="S27" s="20" t="s">
        <v>281</v>
      </c>
      <c r="T27" s="13"/>
      <c r="U27" s="21"/>
      <c r="V27" s="21"/>
      <c r="W27" s="21" t="s">
        <v>99</v>
      </c>
      <c r="Z27" s="28" t="s">
        <v>282</v>
      </c>
      <c r="AA27" s="28" t="s">
        <v>283</v>
      </c>
      <c r="AB27" s="4">
        <v>1</v>
      </c>
    </row>
    <row r="28" spans="1:28" ht="24" customHeight="1">
      <c r="A28" s="7"/>
      <c r="B28" s="8">
        <v>22</v>
      </c>
      <c r="C28" s="13" t="s">
        <v>284</v>
      </c>
      <c r="D28" s="13" t="s">
        <v>285</v>
      </c>
      <c r="E28" s="14" t="s">
        <v>57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286</v>
      </c>
      <c r="N28" s="13" t="s">
        <v>229</v>
      </c>
      <c r="O28" s="19" t="s">
        <v>287</v>
      </c>
      <c r="P28" s="13" t="s">
        <v>288</v>
      </c>
      <c r="Q28" s="13" t="s">
        <v>289</v>
      </c>
      <c r="R28" s="19" t="s">
        <v>290</v>
      </c>
      <c r="S28" s="20" t="s">
        <v>291</v>
      </c>
      <c r="T28" s="13"/>
      <c r="U28" s="22"/>
      <c r="V28" s="22"/>
      <c r="W28" s="22" t="s">
        <v>53</v>
      </c>
      <c r="Z28" s="4" t="s">
        <v>292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293</v>
      </c>
      <c r="D29" s="13" t="s">
        <v>294</v>
      </c>
      <c r="E29" s="8" t="s">
        <v>91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295</v>
      </c>
      <c r="N29" s="13" t="s">
        <v>296</v>
      </c>
      <c r="O29" s="19" t="s">
        <v>297</v>
      </c>
      <c r="P29" s="13" t="s">
        <v>298</v>
      </c>
      <c r="Q29" s="13" t="s">
        <v>299</v>
      </c>
      <c r="R29" s="19" t="s">
        <v>300</v>
      </c>
      <c r="S29" s="20"/>
      <c r="T29" s="13"/>
      <c r="U29" s="22"/>
      <c r="V29" s="22"/>
      <c r="W29" s="22" t="s">
        <v>53</v>
      </c>
      <c r="Z29" s="4" t="s">
        <v>301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302</v>
      </c>
      <c r="D30" s="13" t="s">
        <v>303</v>
      </c>
      <c r="E30" s="23" t="s">
        <v>44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304</v>
      </c>
      <c r="N30" s="13" t="s">
        <v>305</v>
      </c>
      <c r="O30" s="19" t="s">
        <v>306</v>
      </c>
      <c r="P30" s="13" t="s">
        <v>307</v>
      </c>
      <c r="Q30" s="13" t="s">
        <v>308</v>
      </c>
      <c r="R30" s="19" t="s">
        <v>309</v>
      </c>
      <c r="S30" s="20" t="s">
        <v>310</v>
      </c>
      <c r="T30" s="13"/>
      <c r="U30" s="22"/>
      <c r="V30" s="22"/>
      <c r="W30" s="22" t="s">
        <v>53</v>
      </c>
      <c r="Z30" s="4" t="s">
        <v>311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312</v>
      </c>
      <c r="D31" s="13" t="s">
        <v>313</v>
      </c>
      <c r="E31" s="14" t="s">
        <v>44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314</v>
      </c>
      <c r="N31" s="13" t="s">
        <v>152</v>
      </c>
      <c r="O31" s="19" t="s">
        <v>315</v>
      </c>
      <c r="P31" s="13" t="s">
        <v>316</v>
      </c>
      <c r="Q31" s="13" t="s">
        <v>317</v>
      </c>
      <c r="R31" s="19" t="s">
        <v>318</v>
      </c>
      <c r="S31" s="20" t="s">
        <v>319</v>
      </c>
      <c r="T31" s="13"/>
      <c r="U31" s="22"/>
      <c r="V31" s="22"/>
      <c r="W31" s="27" t="s">
        <v>155</v>
      </c>
      <c r="Z31" s="4" t="s">
        <v>320</v>
      </c>
      <c r="AA31" s="4" t="s">
        <v>321</v>
      </c>
      <c r="AB31" s="4">
        <v>1</v>
      </c>
    </row>
    <row r="32" spans="1:28" ht="24" customHeight="1">
      <c r="A32" s="7"/>
      <c r="B32" s="8">
        <v>26</v>
      </c>
      <c r="C32" s="13" t="s">
        <v>322</v>
      </c>
      <c r="D32" s="13" t="s">
        <v>323</v>
      </c>
      <c r="E32" s="14" t="s">
        <v>44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324</v>
      </c>
      <c r="N32" s="13" t="s">
        <v>325</v>
      </c>
      <c r="O32" s="19" t="s">
        <v>326</v>
      </c>
      <c r="P32" s="13" t="s">
        <v>327</v>
      </c>
      <c r="Q32" s="13" t="s">
        <v>328</v>
      </c>
      <c r="R32" s="19" t="s">
        <v>329</v>
      </c>
      <c r="S32" s="20" t="s">
        <v>330</v>
      </c>
      <c r="T32" s="13"/>
      <c r="U32" s="22"/>
      <c r="V32" s="22"/>
      <c r="W32" s="22" t="s">
        <v>53</v>
      </c>
      <c r="Z32" s="4" t="s">
        <v>331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332</v>
      </c>
      <c r="D33" s="13" t="s">
        <v>333</v>
      </c>
      <c r="E33" s="8" t="s">
        <v>91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334</v>
      </c>
      <c r="N33" s="13" t="s">
        <v>335</v>
      </c>
      <c r="O33" s="19" t="s">
        <v>336</v>
      </c>
      <c r="P33" s="13" t="s">
        <v>337</v>
      </c>
      <c r="Q33" s="13" t="s">
        <v>338</v>
      </c>
      <c r="R33" s="19" t="s">
        <v>339</v>
      </c>
      <c r="S33" s="20" t="s">
        <v>340</v>
      </c>
      <c r="T33" s="13"/>
      <c r="U33" s="2" t="s">
        <v>341</v>
      </c>
      <c r="V33" s="21"/>
      <c r="W33" s="21" t="s">
        <v>53</v>
      </c>
      <c r="X33" s="4" t="s">
        <v>342</v>
      </c>
      <c r="Z33" s="4" t="s">
        <v>343</v>
      </c>
      <c r="AA33" s="4" t="s">
        <v>344</v>
      </c>
      <c r="AB33" s="4">
        <v>1</v>
      </c>
    </row>
    <row r="34" spans="1:28" ht="24" customHeight="1">
      <c r="A34" s="7"/>
      <c r="B34" s="8">
        <v>28</v>
      </c>
      <c r="C34" s="13" t="s">
        <v>345</v>
      </c>
      <c r="D34" s="13" t="s">
        <v>346</v>
      </c>
      <c r="E34" s="8" t="s">
        <v>91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347</v>
      </c>
      <c r="R34" s="19" t="s">
        <v>348</v>
      </c>
      <c r="S34" s="20" t="s">
        <v>349</v>
      </c>
      <c r="T34" s="13"/>
      <c r="U34" s="21"/>
      <c r="V34" s="21"/>
      <c r="W34" s="21" t="s">
        <v>99</v>
      </c>
      <c r="Z34" s="4" t="s">
        <v>350</v>
      </c>
      <c r="AA34" s="4" t="s">
        <v>351</v>
      </c>
      <c r="AB34" s="4">
        <v>1</v>
      </c>
    </row>
    <row r="35" spans="1:28" ht="24" customHeight="1">
      <c r="A35" s="7"/>
      <c r="B35" s="8">
        <v>29</v>
      </c>
      <c r="C35" s="13" t="s">
        <v>352</v>
      </c>
      <c r="D35" s="13" t="s">
        <v>353</v>
      </c>
      <c r="E35" s="8" t="s">
        <v>91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354</v>
      </c>
      <c r="N35" s="13" t="s">
        <v>355</v>
      </c>
      <c r="O35" s="19" t="s">
        <v>356</v>
      </c>
      <c r="P35" s="13" t="s">
        <v>357</v>
      </c>
      <c r="Q35" s="13" t="s">
        <v>355</v>
      </c>
      <c r="R35" s="19" t="s">
        <v>356</v>
      </c>
      <c r="S35" s="20" t="s">
        <v>357</v>
      </c>
      <c r="T35" s="13"/>
      <c r="U35" s="21"/>
      <c r="V35" s="21"/>
      <c r="W35" s="21" t="s">
        <v>65</v>
      </c>
      <c r="Z35" s="4" t="s">
        <v>358</v>
      </c>
      <c r="AA35" s="4" t="s">
        <v>359</v>
      </c>
      <c r="AB35" s="4">
        <v>1</v>
      </c>
    </row>
    <row r="36" spans="1:28" ht="24" customHeight="1">
      <c r="A36" s="7"/>
      <c r="B36" s="8">
        <v>30</v>
      </c>
      <c r="C36" s="13" t="s">
        <v>360</v>
      </c>
      <c r="D36" s="13" t="s">
        <v>361</v>
      </c>
      <c r="E36" s="8" t="s">
        <v>91</v>
      </c>
      <c r="F36" s="15">
        <v>18864</v>
      </c>
      <c r="G36" s="16" t="e">
        <f t="shared" si="0"/>
        <v>#N/A</v>
      </c>
      <c r="H36" s="17">
        <f t="shared" ca="1" si="1"/>
        <v>73</v>
      </c>
      <c r="I36" s="13">
        <v>233498</v>
      </c>
      <c r="J36" s="13"/>
      <c r="K36" s="15">
        <v>30529</v>
      </c>
      <c r="L36" s="18"/>
      <c r="M36" s="13" t="s">
        <v>362</v>
      </c>
      <c r="N36" s="13" t="s">
        <v>363</v>
      </c>
      <c r="O36" s="19" t="s">
        <v>364</v>
      </c>
      <c r="P36" s="13" t="s">
        <v>365</v>
      </c>
      <c r="Q36" s="13" t="s">
        <v>366</v>
      </c>
      <c r="R36" s="19" t="s">
        <v>367</v>
      </c>
      <c r="S36" s="20" t="s">
        <v>368</v>
      </c>
      <c r="T36" s="13"/>
      <c r="U36" s="21"/>
      <c r="V36" s="21"/>
      <c r="W36" s="21" t="s">
        <v>65</v>
      </c>
      <c r="Z36" s="4" t="s">
        <v>369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370</v>
      </c>
      <c r="D37" s="13" t="s">
        <v>371</v>
      </c>
      <c r="E37" s="8" t="s">
        <v>91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362</v>
      </c>
      <c r="N37" s="13" t="s">
        <v>363</v>
      </c>
      <c r="O37" s="19" t="s">
        <v>364</v>
      </c>
      <c r="P37" s="13" t="s">
        <v>365</v>
      </c>
      <c r="Q37" s="13"/>
      <c r="R37" s="19"/>
      <c r="S37" s="20"/>
      <c r="T37" s="13"/>
      <c r="U37" s="22"/>
      <c r="V37" s="22"/>
      <c r="W37" s="22" t="s">
        <v>53</v>
      </c>
      <c r="Z37" s="28" t="s">
        <v>372</v>
      </c>
      <c r="AA37" s="28" t="s">
        <v>373</v>
      </c>
      <c r="AB37" s="4">
        <v>1</v>
      </c>
    </row>
    <row r="38" spans="1:28" ht="24" customHeight="1">
      <c r="A38" s="7"/>
      <c r="B38" s="8">
        <v>32</v>
      </c>
      <c r="C38" s="13" t="s">
        <v>374</v>
      </c>
      <c r="D38" s="13" t="s">
        <v>375</v>
      </c>
      <c r="E38" s="23" t="s">
        <v>57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376</v>
      </c>
      <c r="N38" s="13" t="s">
        <v>377</v>
      </c>
      <c r="O38" s="19" t="s">
        <v>378</v>
      </c>
      <c r="P38" s="33" t="s">
        <v>379</v>
      </c>
      <c r="Q38" s="13" t="s">
        <v>380</v>
      </c>
      <c r="R38" s="19" t="s">
        <v>381</v>
      </c>
      <c r="S38" s="20" t="s">
        <v>382</v>
      </c>
      <c r="T38" s="13"/>
      <c r="U38" s="22"/>
      <c r="V38" s="22"/>
      <c r="W38" s="22" t="s">
        <v>65</v>
      </c>
      <c r="Z38" s="4" t="s">
        <v>383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384</v>
      </c>
      <c r="D39" s="13" t="s">
        <v>385</v>
      </c>
      <c r="E39" s="23" t="s">
        <v>70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386</v>
      </c>
      <c r="N39" s="13" t="s">
        <v>387</v>
      </c>
      <c r="O39" s="19" t="s">
        <v>388</v>
      </c>
      <c r="P39" s="13" t="s">
        <v>389</v>
      </c>
      <c r="Q39" s="13" t="s">
        <v>390</v>
      </c>
      <c r="R39" s="19" t="s">
        <v>391</v>
      </c>
      <c r="S39" s="20" t="s">
        <v>392</v>
      </c>
      <c r="T39" s="13"/>
      <c r="U39" s="1" t="s">
        <v>393</v>
      </c>
      <c r="V39" s="22"/>
      <c r="W39" s="22" t="s">
        <v>394</v>
      </c>
      <c r="X39" s="4" t="s">
        <v>395</v>
      </c>
      <c r="Z39" s="4" t="s">
        <v>396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397</v>
      </c>
      <c r="D40" s="13" t="s">
        <v>398</v>
      </c>
      <c r="E40" s="8" t="s">
        <v>70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399</v>
      </c>
      <c r="N40" s="13" t="s">
        <v>400</v>
      </c>
      <c r="O40" s="19" t="s">
        <v>401</v>
      </c>
      <c r="P40" s="13" t="s">
        <v>402</v>
      </c>
      <c r="Q40" s="13" t="s">
        <v>400</v>
      </c>
      <c r="R40" s="19" t="s">
        <v>403</v>
      </c>
      <c r="S40" s="20" t="s">
        <v>404</v>
      </c>
      <c r="T40" s="13"/>
      <c r="U40" s="21"/>
      <c r="V40" s="21"/>
      <c r="W40" s="21" t="s">
        <v>65</v>
      </c>
      <c r="Z40" s="4" t="s">
        <v>405</v>
      </c>
      <c r="AA40" s="4" t="s">
        <v>406</v>
      </c>
      <c r="AB40" s="4">
        <v>1</v>
      </c>
    </row>
    <row r="41" spans="1:28" ht="24" customHeight="1">
      <c r="A41" s="7"/>
      <c r="B41" s="8">
        <v>35</v>
      </c>
      <c r="C41" s="13" t="s">
        <v>407</v>
      </c>
      <c r="D41" s="13" t="s">
        <v>408</v>
      </c>
      <c r="E41" s="14" t="s">
        <v>57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409</v>
      </c>
      <c r="N41" s="13" t="s">
        <v>152</v>
      </c>
      <c r="O41" s="19" t="s">
        <v>315</v>
      </c>
      <c r="P41" s="13" t="s">
        <v>316</v>
      </c>
      <c r="Q41" s="13" t="s">
        <v>390</v>
      </c>
      <c r="R41" s="19" t="s">
        <v>410</v>
      </c>
      <c r="S41" s="20" t="s">
        <v>411</v>
      </c>
      <c r="T41" s="13"/>
      <c r="U41" s="22"/>
      <c r="V41" s="22"/>
      <c r="W41" s="27" t="s">
        <v>132</v>
      </c>
      <c r="Z41" s="4" t="s">
        <v>412</v>
      </c>
      <c r="AA41" s="34" t="s">
        <v>413</v>
      </c>
      <c r="AB41" s="4">
        <v>1</v>
      </c>
    </row>
    <row r="42" spans="1:28" ht="24" customHeight="1">
      <c r="A42" s="7"/>
      <c r="B42" s="8">
        <v>36</v>
      </c>
      <c r="C42" s="13" t="s">
        <v>414</v>
      </c>
      <c r="D42" s="13" t="s">
        <v>415</v>
      </c>
      <c r="E42" s="14" t="s">
        <v>70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416</v>
      </c>
      <c r="N42" s="13" t="s">
        <v>417</v>
      </c>
      <c r="O42" s="19" t="s">
        <v>418</v>
      </c>
      <c r="P42" s="13" t="s">
        <v>419</v>
      </c>
      <c r="Q42" s="13" t="s">
        <v>420</v>
      </c>
      <c r="R42" s="19" t="s">
        <v>421</v>
      </c>
      <c r="S42" s="20" t="s">
        <v>422</v>
      </c>
      <c r="T42" s="13"/>
      <c r="U42" s="22"/>
      <c r="V42" s="22"/>
      <c r="W42" s="22" t="s">
        <v>53</v>
      </c>
      <c r="Y42" s="6">
        <v>44774</v>
      </c>
      <c r="Z42" s="4" t="s">
        <v>423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424</v>
      </c>
      <c r="D43" s="13" t="s">
        <v>425</v>
      </c>
      <c r="E43" s="23" t="s">
        <v>44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426</v>
      </c>
      <c r="N43" s="13" t="s">
        <v>427</v>
      </c>
      <c r="O43" s="19" t="s">
        <v>428</v>
      </c>
      <c r="P43" s="13" t="s">
        <v>429</v>
      </c>
      <c r="Q43" s="13" t="s">
        <v>430</v>
      </c>
      <c r="R43" s="19" t="s">
        <v>431</v>
      </c>
      <c r="S43" s="20" t="s">
        <v>432</v>
      </c>
      <c r="T43" s="13"/>
      <c r="U43" s="21"/>
      <c r="V43" s="21"/>
      <c r="W43" s="21" t="s">
        <v>65</v>
      </c>
      <c r="Z43" s="4" t="s">
        <v>433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434</v>
      </c>
      <c r="D44" s="13" t="s">
        <v>435</v>
      </c>
      <c r="E44" s="35" t="s">
        <v>70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314</v>
      </c>
      <c r="N44" s="13" t="s">
        <v>436</v>
      </c>
      <c r="O44" s="19" t="s">
        <v>315</v>
      </c>
      <c r="P44" s="13" t="s">
        <v>316</v>
      </c>
      <c r="Q44" s="13" t="s">
        <v>437</v>
      </c>
      <c r="R44" s="19" t="s">
        <v>438</v>
      </c>
      <c r="S44" s="20" t="s">
        <v>439</v>
      </c>
      <c r="T44" s="13"/>
      <c r="U44" s="22"/>
      <c r="V44" s="22"/>
      <c r="W44" s="27" t="s">
        <v>132</v>
      </c>
      <c r="Z44" s="4" t="s">
        <v>440</v>
      </c>
      <c r="AA44" s="34" t="s">
        <v>441</v>
      </c>
      <c r="AB44" s="4">
        <v>1</v>
      </c>
    </row>
    <row r="45" spans="1:28" ht="24" customHeight="1">
      <c r="A45" s="7"/>
      <c r="B45" s="8">
        <v>39</v>
      </c>
      <c r="C45" s="13" t="s">
        <v>442</v>
      </c>
      <c r="D45" s="13" t="s">
        <v>443</v>
      </c>
      <c r="E45" s="8" t="s">
        <v>70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444</v>
      </c>
      <c r="N45" s="13" t="s">
        <v>445</v>
      </c>
      <c r="O45" s="19" t="s">
        <v>446</v>
      </c>
      <c r="P45" s="13" t="s">
        <v>447</v>
      </c>
      <c r="Q45" s="13" t="s">
        <v>445</v>
      </c>
      <c r="R45" s="19" t="s">
        <v>448</v>
      </c>
      <c r="S45" s="20" t="s">
        <v>449</v>
      </c>
      <c r="T45" s="13"/>
      <c r="U45" s="21"/>
      <c r="V45" s="21" t="s">
        <v>52</v>
      </c>
      <c r="W45" s="21" t="s">
        <v>65</v>
      </c>
      <c r="Z45" s="4" t="s">
        <v>450</v>
      </c>
      <c r="AA45" s="4" t="s">
        <v>451</v>
      </c>
      <c r="AB45" s="4">
        <v>1</v>
      </c>
    </row>
    <row r="46" spans="1:28" ht="24" customHeight="1">
      <c r="A46" s="7" t="s">
        <v>452</v>
      </c>
      <c r="B46" s="8">
        <v>40</v>
      </c>
      <c r="C46" s="13" t="s">
        <v>453</v>
      </c>
      <c r="D46" s="13" t="s">
        <v>454</v>
      </c>
      <c r="E46" s="23" t="s">
        <v>57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455</v>
      </c>
      <c r="N46" s="13" t="s">
        <v>456</v>
      </c>
      <c r="O46" s="19" t="s">
        <v>457</v>
      </c>
      <c r="P46" s="13" t="s">
        <v>458</v>
      </c>
      <c r="Q46" s="13" t="s">
        <v>459</v>
      </c>
      <c r="R46" s="19" t="s">
        <v>460</v>
      </c>
      <c r="S46" s="20" t="s">
        <v>461</v>
      </c>
      <c r="T46" s="13"/>
      <c r="U46" s="22"/>
      <c r="V46" s="22"/>
      <c r="W46" s="22" t="s">
        <v>53</v>
      </c>
      <c r="Z46" s="4" t="s">
        <v>462</v>
      </c>
      <c r="AA46" s="4" t="s">
        <v>463</v>
      </c>
      <c r="AB46" s="4">
        <v>1</v>
      </c>
    </row>
    <row r="47" spans="1:28" ht="24" customHeight="1">
      <c r="A47" s="7"/>
      <c r="B47" s="8">
        <v>41</v>
      </c>
      <c r="C47" s="13" t="s">
        <v>464</v>
      </c>
      <c r="D47" s="13" t="s">
        <v>465</v>
      </c>
      <c r="E47" s="14" t="s">
        <v>57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466</v>
      </c>
      <c r="N47" s="13" t="s">
        <v>296</v>
      </c>
      <c r="O47" s="19" t="s">
        <v>467</v>
      </c>
      <c r="P47" s="13" t="s">
        <v>298</v>
      </c>
      <c r="Q47" s="13"/>
      <c r="R47" s="19"/>
      <c r="S47" s="20"/>
      <c r="T47" s="13"/>
      <c r="U47" s="22"/>
      <c r="V47" s="22"/>
      <c r="W47" s="22" t="s">
        <v>53</v>
      </c>
      <c r="Z47" s="4" t="s">
        <v>468</v>
      </c>
      <c r="AA47" s="4" t="s">
        <v>469</v>
      </c>
      <c r="AB47" s="4">
        <v>1</v>
      </c>
    </row>
    <row r="48" spans="1:28" ht="24" customHeight="1">
      <c r="A48" s="7"/>
      <c r="B48" s="8">
        <v>42</v>
      </c>
      <c r="C48" s="13" t="s">
        <v>470</v>
      </c>
      <c r="D48" s="13" t="s">
        <v>471</v>
      </c>
      <c r="E48" s="8" t="s">
        <v>70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472</v>
      </c>
      <c r="R48" s="19" t="s">
        <v>473</v>
      </c>
      <c r="S48" s="20" t="s">
        <v>474</v>
      </c>
      <c r="T48" s="13"/>
      <c r="U48" s="21"/>
      <c r="V48" s="21"/>
      <c r="W48" s="21" t="s">
        <v>99</v>
      </c>
      <c r="Z48" s="4" t="s">
        <v>475</v>
      </c>
      <c r="AA48" s="4" t="s">
        <v>476</v>
      </c>
      <c r="AB48" s="4">
        <v>1</v>
      </c>
    </row>
    <row r="49" spans="1:28" ht="24" customHeight="1">
      <c r="A49" s="7"/>
      <c r="B49" s="8">
        <v>43</v>
      </c>
      <c r="C49" s="13" t="s">
        <v>477</v>
      </c>
      <c r="D49" s="13" t="s">
        <v>478</v>
      </c>
      <c r="E49" s="8" t="s">
        <v>91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228</v>
      </c>
      <c r="N49" s="13" t="s">
        <v>229</v>
      </c>
      <c r="O49" s="19" t="s">
        <v>287</v>
      </c>
      <c r="P49" s="13" t="s">
        <v>288</v>
      </c>
      <c r="Q49" s="13" t="s">
        <v>479</v>
      </c>
      <c r="R49" s="19" t="s">
        <v>480</v>
      </c>
      <c r="S49" s="20" t="s">
        <v>481</v>
      </c>
      <c r="T49" s="13"/>
      <c r="U49" s="22"/>
      <c r="V49" s="22"/>
      <c r="W49" s="22" t="s">
        <v>53</v>
      </c>
      <c r="Z49" s="4" t="s">
        <v>482</v>
      </c>
      <c r="AA49" s="4" t="s">
        <v>483</v>
      </c>
      <c r="AB49" s="4">
        <v>1</v>
      </c>
    </row>
    <row r="50" spans="1:28" ht="24" customHeight="1">
      <c r="A50" s="7"/>
      <c r="B50" s="8">
        <v>44</v>
      </c>
      <c r="C50" s="13" t="s">
        <v>484</v>
      </c>
      <c r="D50" s="13" t="s">
        <v>485</v>
      </c>
      <c r="E50" s="8" t="s">
        <v>91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486</v>
      </c>
      <c r="N50" s="13" t="s">
        <v>487</v>
      </c>
      <c r="O50" s="19" t="s">
        <v>488</v>
      </c>
      <c r="P50" s="13" t="s">
        <v>489</v>
      </c>
      <c r="Q50" s="13" t="s">
        <v>490</v>
      </c>
      <c r="R50" s="19" t="s">
        <v>491</v>
      </c>
      <c r="S50" s="20" t="s">
        <v>492</v>
      </c>
      <c r="T50" s="13"/>
      <c r="U50" s="21"/>
      <c r="V50" s="21"/>
      <c r="W50" s="21" t="s">
        <v>65</v>
      </c>
      <c r="Z50" s="4" t="s">
        <v>493</v>
      </c>
      <c r="AA50" s="34" t="s">
        <v>494</v>
      </c>
      <c r="AB50" s="4">
        <v>1</v>
      </c>
    </row>
    <row r="51" spans="1:28" ht="24" customHeight="1">
      <c r="A51" s="7"/>
      <c r="B51" s="8">
        <v>45</v>
      </c>
      <c r="C51" s="13" t="s">
        <v>495</v>
      </c>
      <c r="D51" s="13" t="s">
        <v>496</v>
      </c>
      <c r="E51" s="23" t="s">
        <v>44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497</v>
      </c>
      <c r="N51" s="13" t="s">
        <v>498</v>
      </c>
      <c r="O51" s="19" t="s">
        <v>499</v>
      </c>
      <c r="P51" s="13" t="s">
        <v>500</v>
      </c>
      <c r="Q51" s="13" t="s">
        <v>498</v>
      </c>
      <c r="R51" s="19" t="s">
        <v>501</v>
      </c>
      <c r="S51" s="20" t="s">
        <v>502</v>
      </c>
      <c r="T51" s="13"/>
      <c r="U51" s="21"/>
      <c r="V51" s="21" t="s">
        <v>503</v>
      </c>
      <c r="W51" s="21" t="s">
        <v>65</v>
      </c>
      <c r="Z51" s="4" t="s">
        <v>504</v>
      </c>
      <c r="AA51" s="4" t="s">
        <v>505</v>
      </c>
      <c r="AB51" s="4">
        <v>1</v>
      </c>
    </row>
    <row r="52" spans="1:28" ht="24" customHeight="1">
      <c r="A52" s="7"/>
      <c r="B52" s="8">
        <v>46</v>
      </c>
      <c r="C52" s="13" t="s">
        <v>506</v>
      </c>
      <c r="D52" s="13" t="s">
        <v>507</v>
      </c>
      <c r="E52" s="36" t="s">
        <v>70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508</v>
      </c>
      <c r="N52" s="13" t="s">
        <v>509</v>
      </c>
      <c r="O52" s="19" t="s">
        <v>510</v>
      </c>
      <c r="P52" s="13" t="s">
        <v>511</v>
      </c>
      <c r="Q52" s="13" t="s">
        <v>509</v>
      </c>
      <c r="R52" s="19" t="s">
        <v>510</v>
      </c>
      <c r="S52" s="20" t="s">
        <v>512</v>
      </c>
      <c r="T52" s="13"/>
      <c r="U52" s="22"/>
      <c r="V52" s="22"/>
      <c r="W52" s="22" t="s">
        <v>65</v>
      </c>
      <c r="X52" s="4" t="s">
        <v>513</v>
      </c>
      <c r="Z52" s="28" t="s">
        <v>514</v>
      </c>
      <c r="AA52" s="28" t="s">
        <v>515</v>
      </c>
      <c r="AB52" s="4">
        <v>1</v>
      </c>
    </row>
    <row r="53" spans="1:28" ht="24" customHeight="1">
      <c r="A53" s="7"/>
      <c r="B53" s="8">
        <v>47</v>
      </c>
      <c r="C53" s="13" t="s">
        <v>516</v>
      </c>
      <c r="D53" s="13" t="s">
        <v>517</v>
      </c>
      <c r="E53" s="36" t="s">
        <v>70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518</v>
      </c>
      <c r="N53" s="13" t="s">
        <v>519</v>
      </c>
      <c r="O53" s="19" t="s">
        <v>520</v>
      </c>
      <c r="P53" s="13" t="s">
        <v>521</v>
      </c>
      <c r="Q53" s="13" t="s">
        <v>522</v>
      </c>
      <c r="R53" s="37" t="s">
        <v>523</v>
      </c>
      <c r="S53" s="20" t="s">
        <v>524</v>
      </c>
      <c r="T53" s="13"/>
      <c r="U53" s="22"/>
      <c r="V53" s="22"/>
      <c r="W53" s="22" t="s">
        <v>65</v>
      </c>
      <c r="X53" s="4" t="s">
        <v>525</v>
      </c>
      <c r="Y53" s="6">
        <v>45125</v>
      </c>
      <c r="Z53" s="28" t="s">
        <v>526</v>
      </c>
      <c r="AA53" s="28" t="s">
        <v>527</v>
      </c>
      <c r="AB53" s="4">
        <v>1</v>
      </c>
    </row>
    <row r="54" spans="1:28" ht="24" customHeight="1">
      <c r="A54" s="7"/>
      <c r="B54" s="8">
        <v>48</v>
      </c>
      <c r="C54" s="13" t="s">
        <v>528</v>
      </c>
      <c r="D54" s="13" t="s">
        <v>529</v>
      </c>
      <c r="E54" s="23" t="s">
        <v>44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522</v>
      </c>
      <c r="R54" s="37" t="s">
        <v>523</v>
      </c>
      <c r="S54" s="38" t="s">
        <v>524</v>
      </c>
      <c r="T54" s="13"/>
      <c r="U54" s="21"/>
      <c r="V54" s="21"/>
      <c r="W54" s="21" t="s">
        <v>53</v>
      </c>
      <c r="X54" s="39"/>
      <c r="Y54" s="4" t="s">
        <v>530</v>
      </c>
      <c r="Z54" s="4" t="s">
        <v>531</v>
      </c>
      <c r="AA54" s="4" t="s">
        <v>532</v>
      </c>
      <c r="AB54" s="4">
        <v>1</v>
      </c>
    </row>
    <row r="55" spans="1:28" ht="24" customHeight="1">
      <c r="A55" s="7"/>
      <c r="B55" s="8">
        <v>49</v>
      </c>
      <c r="C55" s="13" t="s">
        <v>533</v>
      </c>
      <c r="D55" s="13" t="s">
        <v>534</v>
      </c>
      <c r="E55" s="14" t="s">
        <v>57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45</v>
      </c>
      <c r="N55" s="13" t="s">
        <v>535</v>
      </c>
      <c r="O55" s="19" t="s">
        <v>47</v>
      </c>
      <c r="P55" s="13" t="s">
        <v>48</v>
      </c>
      <c r="Q55" s="13" t="s">
        <v>536</v>
      </c>
      <c r="R55" s="19" t="s">
        <v>537</v>
      </c>
      <c r="S55" s="20" t="s">
        <v>538</v>
      </c>
      <c r="T55" s="13"/>
      <c r="U55" s="22"/>
      <c r="V55" s="22"/>
      <c r="W55" s="22" t="s">
        <v>53</v>
      </c>
      <c r="Z55" s="4" t="s">
        <v>539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540</v>
      </c>
      <c r="D56" s="13" t="s">
        <v>541</v>
      </c>
      <c r="E56" s="23" t="s">
        <v>44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542</v>
      </c>
      <c r="K56" s="15">
        <v>36677</v>
      </c>
      <c r="L56" s="18"/>
      <c r="M56" s="13" t="s">
        <v>244</v>
      </c>
      <c r="N56" s="13" t="s">
        <v>245</v>
      </c>
      <c r="O56" s="19" t="s">
        <v>246</v>
      </c>
      <c r="P56" s="13" t="s">
        <v>247</v>
      </c>
      <c r="Q56" s="13" t="s">
        <v>543</v>
      </c>
      <c r="R56" s="19" t="s">
        <v>544</v>
      </c>
      <c r="S56" s="20" t="s">
        <v>545</v>
      </c>
      <c r="T56" s="13"/>
      <c r="U56" s="22"/>
      <c r="V56" s="22"/>
      <c r="W56" s="22" t="s">
        <v>53</v>
      </c>
      <c r="Z56" s="4" t="s">
        <v>546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547</v>
      </c>
      <c r="D57" s="13" t="s">
        <v>548</v>
      </c>
      <c r="E57" s="23" t="s">
        <v>44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549</v>
      </c>
      <c r="N57" s="13" t="s">
        <v>550</v>
      </c>
      <c r="O57" s="19" t="s">
        <v>551</v>
      </c>
      <c r="P57" s="13" t="s">
        <v>552</v>
      </c>
      <c r="Q57" s="13" t="s">
        <v>553</v>
      </c>
      <c r="R57" s="19" t="s">
        <v>554</v>
      </c>
      <c r="S57" s="20" t="s">
        <v>555</v>
      </c>
      <c r="T57" s="20" t="s">
        <v>556</v>
      </c>
      <c r="U57" s="40"/>
      <c r="V57" s="40"/>
      <c r="W57" s="40" t="s">
        <v>53</v>
      </c>
      <c r="Z57" s="4" t="s">
        <v>557</v>
      </c>
      <c r="AA57" s="4" t="s">
        <v>558</v>
      </c>
      <c r="AB57" s="4">
        <v>1</v>
      </c>
    </row>
    <row r="58" spans="1:28" ht="24" customHeight="1">
      <c r="A58" s="7"/>
      <c r="B58" s="8">
        <v>52</v>
      </c>
      <c r="C58" s="13" t="s">
        <v>559</v>
      </c>
      <c r="D58" s="13" t="s">
        <v>560</v>
      </c>
      <c r="E58" s="8" t="s">
        <v>91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314</v>
      </c>
      <c r="N58" s="13" t="s">
        <v>152</v>
      </c>
      <c r="O58" s="19" t="s">
        <v>561</v>
      </c>
      <c r="P58" s="13" t="s">
        <v>562</v>
      </c>
      <c r="Q58" s="13" t="s">
        <v>118</v>
      </c>
      <c r="R58" s="19" t="s">
        <v>563</v>
      </c>
      <c r="S58" s="20" t="s">
        <v>564</v>
      </c>
      <c r="T58" s="13"/>
      <c r="U58" s="22"/>
      <c r="V58" s="22" t="s">
        <v>52</v>
      </c>
      <c r="W58" s="27" t="s">
        <v>155</v>
      </c>
      <c r="Z58" s="4" t="s">
        <v>565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566</v>
      </c>
      <c r="D59" s="13" t="s">
        <v>567</v>
      </c>
      <c r="E59" s="8" t="s">
        <v>91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568</v>
      </c>
      <c r="R59" s="19" t="s">
        <v>569</v>
      </c>
      <c r="S59" s="20" t="s">
        <v>570</v>
      </c>
      <c r="T59" s="13"/>
      <c r="U59" s="22"/>
      <c r="V59" s="22"/>
      <c r="W59" s="22" t="s">
        <v>53</v>
      </c>
      <c r="Z59" s="4" t="s">
        <v>571</v>
      </c>
      <c r="AA59" s="4" t="s">
        <v>572</v>
      </c>
      <c r="AB59" s="4">
        <v>1</v>
      </c>
    </row>
    <row r="60" spans="1:28" ht="24" customHeight="1">
      <c r="A60" s="7" t="s">
        <v>573</v>
      </c>
      <c r="B60" s="8">
        <v>54</v>
      </c>
      <c r="C60" s="13" t="s">
        <v>574</v>
      </c>
      <c r="D60" s="13" t="s">
        <v>575</v>
      </c>
      <c r="E60" s="8" t="s">
        <v>91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576</v>
      </c>
      <c r="N60" s="13" t="s">
        <v>577</v>
      </c>
      <c r="O60" s="19" t="s">
        <v>578</v>
      </c>
      <c r="P60" s="13" t="s">
        <v>579</v>
      </c>
      <c r="Q60" s="13" t="s">
        <v>580</v>
      </c>
      <c r="R60" s="19" t="s">
        <v>581</v>
      </c>
      <c r="S60" s="20" t="s">
        <v>582</v>
      </c>
      <c r="T60" s="13"/>
      <c r="U60" s="21"/>
      <c r="V60" s="21"/>
      <c r="W60" s="21" t="s">
        <v>65</v>
      </c>
      <c r="Z60" s="4" t="s">
        <v>583</v>
      </c>
      <c r="AA60" s="4" t="s">
        <v>584</v>
      </c>
      <c r="AB60" s="4">
        <v>1</v>
      </c>
    </row>
    <row r="61" spans="1:28" ht="24" customHeight="1">
      <c r="A61" s="7"/>
      <c r="B61" s="8">
        <v>55</v>
      </c>
      <c r="C61" s="13" t="s">
        <v>585</v>
      </c>
      <c r="D61" s="13" t="s">
        <v>586</v>
      </c>
      <c r="E61" s="8" t="s">
        <v>91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587</v>
      </c>
      <c r="N61" s="13" t="s">
        <v>588</v>
      </c>
      <c r="O61" s="19" t="s">
        <v>589</v>
      </c>
      <c r="P61" s="13" t="s">
        <v>590</v>
      </c>
      <c r="Q61" s="13" t="s">
        <v>591</v>
      </c>
      <c r="R61" s="19" t="s">
        <v>592</v>
      </c>
      <c r="S61" s="20" t="s">
        <v>593</v>
      </c>
      <c r="T61" s="13"/>
      <c r="U61" s="41" t="s">
        <v>1057</v>
      </c>
      <c r="V61" s="21" t="s">
        <v>52</v>
      </c>
      <c r="W61" s="21" t="s">
        <v>65</v>
      </c>
      <c r="Z61" s="4" t="s">
        <v>594</v>
      </c>
      <c r="AA61" s="4" t="s">
        <v>595</v>
      </c>
      <c r="AB61" s="4">
        <v>1</v>
      </c>
    </row>
    <row r="62" spans="1:28" ht="24" customHeight="1">
      <c r="A62" s="7"/>
      <c r="B62" s="8">
        <v>56</v>
      </c>
      <c r="C62" s="13" t="s">
        <v>596</v>
      </c>
      <c r="D62" s="13" t="s">
        <v>597</v>
      </c>
      <c r="E62" s="23" t="s">
        <v>44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598</v>
      </c>
      <c r="N62" s="13" t="s">
        <v>599</v>
      </c>
      <c r="O62" s="19" t="s">
        <v>600</v>
      </c>
      <c r="P62" s="13" t="s">
        <v>601</v>
      </c>
      <c r="Q62" s="13" t="s">
        <v>599</v>
      </c>
      <c r="R62" s="19" t="s">
        <v>602</v>
      </c>
      <c r="S62" s="20" t="s">
        <v>603</v>
      </c>
      <c r="T62" s="13"/>
      <c r="U62" s="29" t="s">
        <v>1058</v>
      </c>
      <c r="V62" s="21" t="s">
        <v>52</v>
      </c>
      <c r="W62" s="21" t="s">
        <v>65</v>
      </c>
      <c r="Z62" s="4" t="s">
        <v>604</v>
      </c>
      <c r="AA62" s="4" t="s">
        <v>605</v>
      </c>
      <c r="AB62" s="4">
        <v>1</v>
      </c>
    </row>
    <row r="63" spans="1:28" ht="24" customHeight="1">
      <c r="A63" s="7"/>
      <c r="B63" s="8">
        <v>57</v>
      </c>
      <c r="C63" s="13" t="s">
        <v>606</v>
      </c>
      <c r="D63" s="13" t="s">
        <v>607</v>
      </c>
      <c r="E63" s="23" t="s">
        <v>44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608</v>
      </c>
      <c r="N63" s="13" t="s">
        <v>609</v>
      </c>
      <c r="O63" s="19" t="s">
        <v>610</v>
      </c>
      <c r="P63" s="13" t="s">
        <v>611</v>
      </c>
      <c r="Q63" s="13" t="s">
        <v>612</v>
      </c>
      <c r="R63" s="19" t="s">
        <v>613</v>
      </c>
      <c r="S63" s="20" t="s">
        <v>614</v>
      </c>
      <c r="T63" s="13"/>
      <c r="U63" s="22"/>
      <c r="V63" s="22"/>
      <c r="W63" s="22" t="s">
        <v>53</v>
      </c>
      <c r="Z63" s="4" t="s">
        <v>615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616</v>
      </c>
      <c r="D64" s="13" t="s">
        <v>617</v>
      </c>
      <c r="E64" s="8" t="s">
        <v>91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455</v>
      </c>
      <c r="N64" s="13" t="s">
        <v>456</v>
      </c>
      <c r="O64" s="19" t="s">
        <v>457</v>
      </c>
      <c r="P64" s="13" t="s">
        <v>458</v>
      </c>
      <c r="Q64" s="13" t="s">
        <v>456</v>
      </c>
      <c r="R64" s="19" t="s">
        <v>457</v>
      </c>
      <c r="S64" s="20" t="s">
        <v>618</v>
      </c>
      <c r="T64" s="13"/>
      <c r="U64" s="21"/>
      <c r="V64" s="21" t="s">
        <v>52</v>
      </c>
      <c r="W64" s="21" t="s">
        <v>65</v>
      </c>
      <c r="Z64" s="4" t="s">
        <v>619</v>
      </c>
      <c r="AA64" s="4" t="s">
        <v>620</v>
      </c>
      <c r="AB64" s="4">
        <v>1</v>
      </c>
    </row>
    <row r="65" spans="1:28" ht="24" customHeight="1">
      <c r="A65" s="7"/>
      <c r="B65" s="8">
        <v>59</v>
      </c>
      <c r="C65" s="13" t="s">
        <v>621</v>
      </c>
      <c r="D65" s="13" t="s">
        <v>622</v>
      </c>
      <c r="E65" s="8" t="s">
        <v>70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623</v>
      </c>
      <c r="N65" s="13" t="s">
        <v>337</v>
      </c>
      <c r="O65" s="19" t="s">
        <v>624</v>
      </c>
      <c r="P65" s="13" t="s">
        <v>337</v>
      </c>
      <c r="Q65" s="13" t="s">
        <v>625</v>
      </c>
      <c r="R65" s="19" t="s">
        <v>626</v>
      </c>
      <c r="S65" s="20" t="s">
        <v>627</v>
      </c>
      <c r="T65" s="13"/>
      <c r="U65" s="1" t="s">
        <v>628</v>
      </c>
      <c r="V65" s="22"/>
      <c r="W65" s="22" t="s">
        <v>394</v>
      </c>
      <c r="X65" s="42"/>
      <c r="Z65" s="4" t="s">
        <v>629</v>
      </c>
      <c r="AA65" s="4" t="s">
        <v>630</v>
      </c>
      <c r="AB65" s="4">
        <v>1</v>
      </c>
    </row>
    <row r="66" spans="1:28" ht="24" customHeight="1">
      <c r="A66" s="7"/>
      <c r="B66" s="8">
        <v>60</v>
      </c>
      <c r="C66" s="13" t="s">
        <v>631</v>
      </c>
      <c r="D66" s="13" t="s">
        <v>632</v>
      </c>
      <c r="E66" s="8" t="s">
        <v>91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633</v>
      </c>
      <c r="R66" s="19" t="s">
        <v>634</v>
      </c>
      <c r="S66" s="20"/>
      <c r="T66" s="13"/>
      <c r="U66" s="22"/>
      <c r="V66" s="22"/>
      <c r="W66" s="22" t="s">
        <v>53</v>
      </c>
      <c r="X66" s="4" t="s">
        <v>635</v>
      </c>
      <c r="Z66" s="4" t="s">
        <v>636</v>
      </c>
      <c r="AA66" s="4" t="s">
        <v>637</v>
      </c>
      <c r="AB66" s="4">
        <v>1</v>
      </c>
    </row>
    <row r="67" spans="1:28" ht="24" customHeight="1">
      <c r="A67" s="7"/>
      <c r="B67" s="8">
        <v>61</v>
      </c>
      <c r="C67" s="13" t="s">
        <v>638</v>
      </c>
      <c r="D67" s="13" t="s">
        <v>639</v>
      </c>
      <c r="E67" s="8" t="s">
        <v>70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640</v>
      </c>
      <c r="N67" s="13" t="s">
        <v>152</v>
      </c>
      <c r="O67" s="19" t="s">
        <v>315</v>
      </c>
      <c r="P67" s="13" t="s">
        <v>316</v>
      </c>
      <c r="Q67" s="13" t="s">
        <v>152</v>
      </c>
      <c r="R67" s="19" t="s">
        <v>641</v>
      </c>
      <c r="S67" s="20" t="s">
        <v>642</v>
      </c>
      <c r="T67" s="13"/>
      <c r="U67" s="22"/>
      <c r="V67" s="22" t="s">
        <v>52</v>
      </c>
      <c r="W67" s="27" t="s">
        <v>155</v>
      </c>
      <c r="Z67" s="4" t="s">
        <v>643</v>
      </c>
      <c r="AA67" s="4" t="s">
        <v>644</v>
      </c>
      <c r="AB67" s="4">
        <v>1</v>
      </c>
    </row>
    <row r="68" spans="1:28" ht="24" customHeight="1">
      <c r="A68" s="7"/>
      <c r="B68" s="8">
        <v>62</v>
      </c>
      <c r="C68" s="13" t="s">
        <v>645</v>
      </c>
      <c r="D68" s="13" t="s">
        <v>646</v>
      </c>
      <c r="E68" s="23" t="s">
        <v>44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577</v>
      </c>
      <c r="R68" s="19" t="s">
        <v>647</v>
      </c>
      <c r="S68" s="20" t="s">
        <v>648</v>
      </c>
      <c r="T68" s="13"/>
      <c r="U68" s="22"/>
      <c r="V68" s="22"/>
      <c r="W68" s="22" t="s">
        <v>649</v>
      </c>
      <c r="X68" s="4" t="s">
        <v>650</v>
      </c>
      <c r="Z68" s="4" t="s">
        <v>651</v>
      </c>
      <c r="AA68" s="4" t="s">
        <v>652</v>
      </c>
      <c r="AB68" s="4">
        <v>1</v>
      </c>
    </row>
    <row r="69" spans="1:28" ht="24" customHeight="1">
      <c r="A69" s="7"/>
      <c r="B69" s="8">
        <v>63</v>
      </c>
      <c r="C69" s="13" t="s">
        <v>653</v>
      </c>
      <c r="D69" s="13" t="s">
        <v>654</v>
      </c>
      <c r="E69" s="14" t="s">
        <v>44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655</v>
      </c>
      <c r="N69" s="13" t="s">
        <v>609</v>
      </c>
      <c r="O69" s="19" t="s">
        <v>610</v>
      </c>
      <c r="P69" s="13" t="s">
        <v>611</v>
      </c>
      <c r="Q69" s="13" t="s">
        <v>656</v>
      </c>
      <c r="R69" s="19" t="s">
        <v>657</v>
      </c>
      <c r="S69" s="20" t="s">
        <v>658</v>
      </c>
      <c r="T69" s="13"/>
      <c r="U69" s="22"/>
      <c r="V69" s="22"/>
      <c r="W69" s="22" t="s">
        <v>53</v>
      </c>
      <c r="Z69" s="4" t="s">
        <v>659</v>
      </c>
      <c r="AA69" s="4">
        <v>19651003</v>
      </c>
      <c r="AB69" s="4">
        <v>1</v>
      </c>
    </row>
    <row r="70" spans="1:28" ht="24" customHeight="1">
      <c r="A70" s="7" t="s">
        <v>660</v>
      </c>
      <c r="B70" s="8">
        <v>64</v>
      </c>
      <c r="C70" s="13" t="s">
        <v>661</v>
      </c>
      <c r="D70" s="13" t="s">
        <v>662</v>
      </c>
      <c r="E70" s="23" t="s">
        <v>44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663</v>
      </c>
      <c r="N70" s="13" t="s">
        <v>664</v>
      </c>
      <c r="O70" s="19" t="s">
        <v>665</v>
      </c>
      <c r="P70" s="13" t="s">
        <v>666</v>
      </c>
      <c r="Q70" s="13" t="s">
        <v>664</v>
      </c>
      <c r="R70" s="19" t="s">
        <v>667</v>
      </c>
      <c r="S70" s="20" t="s">
        <v>668</v>
      </c>
      <c r="T70" s="13"/>
      <c r="U70" s="21"/>
      <c r="V70" s="21"/>
      <c r="W70" s="21" t="s">
        <v>65</v>
      </c>
      <c r="Z70" s="4" t="s">
        <v>669</v>
      </c>
      <c r="AA70" s="4" t="s">
        <v>670</v>
      </c>
      <c r="AB70" s="4">
        <v>1</v>
      </c>
    </row>
    <row r="71" spans="1:28" ht="24" customHeight="1">
      <c r="A71" s="7"/>
      <c r="B71" s="8">
        <v>65</v>
      </c>
      <c r="C71" s="13" t="s">
        <v>671</v>
      </c>
      <c r="D71" s="13" t="s">
        <v>672</v>
      </c>
      <c r="E71" s="8" t="s">
        <v>91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673</v>
      </c>
      <c r="N71" s="13" t="s">
        <v>674</v>
      </c>
      <c r="O71" s="19" t="s">
        <v>675</v>
      </c>
      <c r="P71" s="13" t="s">
        <v>676</v>
      </c>
      <c r="Q71" s="13" t="s">
        <v>677</v>
      </c>
      <c r="R71" s="19" t="s">
        <v>678</v>
      </c>
      <c r="S71" s="20" t="s">
        <v>679</v>
      </c>
      <c r="T71" s="13"/>
      <c r="U71" s="21"/>
      <c r="V71" s="21"/>
      <c r="W71" s="21" t="s">
        <v>53</v>
      </c>
      <c r="Z71" s="4" t="s">
        <v>680</v>
      </c>
      <c r="AA71" s="4" t="s">
        <v>681</v>
      </c>
      <c r="AB71" s="4">
        <v>1</v>
      </c>
    </row>
    <row r="72" spans="1:28" ht="24" customHeight="1">
      <c r="A72" s="7"/>
      <c r="B72" s="8">
        <v>66</v>
      </c>
      <c r="C72" s="13" t="s">
        <v>682</v>
      </c>
      <c r="D72" s="13" t="s">
        <v>683</v>
      </c>
      <c r="E72" s="8" t="s">
        <v>91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684</v>
      </c>
      <c r="N72" s="13" t="s">
        <v>685</v>
      </c>
      <c r="O72" s="19" t="s">
        <v>686</v>
      </c>
      <c r="P72" s="13" t="s">
        <v>687</v>
      </c>
      <c r="Q72" s="13" t="s">
        <v>688</v>
      </c>
      <c r="R72" s="19" t="s">
        <v>686</v>
      </c>
      <c r="S72" s="20" t="s">
        <v>689</v>
      </c>
      <c r="T72" s="13"/>
      <c r="U72" s="22"/>
      <c r="V72" s="22"/>
      <c r="W72" s="22" t="s">
        <v>65</v>
      </c>
      <c r="Z72" s="4" t="s">
        <v>690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691</v>
      </c>
      <c r="D73" s="13" t="s">
        <v>692</v>
      </c>
      <c r="E73" s="8" t="s">
        <v>57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693</v>
      </c>
      <c r="N73" s="13" t="s">
        <v>125</v>
      </c>
      <c r="O73" s="19" t="s">
        <v>694</v>
      </c>
      <c r="P73" s="13" t="s">
        <v>127</v>
      </c>
      <c r="Q73" s="13" t="s">
        <v>695</v>
      </c>
      <c r="R73" s="19" t="s">
        <v>696</v>
      </c>
      <c r="S73" s="20" t="s">
        <v>697</v>
      </c>
      <c r="T73" s="13"/>
      <c r="U73" s="22"/>
      <c r="V73" s="22"/>
      <c r="W73" s="27" t="s">
        <v>132</v>
      </c>
      <c r="Z73" s="4" t="s">
        <v>698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699</v>
      </c>
      <c r="D74" s="13" t="s">
        <v>700</v>
      </c>
      <c r="E74" s="8" t="s">
        <v>91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701</v>
      </c>
      <c r="N74" s="13" t="s">
        <v>702</v>
      </c>
      <c r="O74" s="19" t="s">
        <v>703</v>
      </c>
      <c r="P74" s="13" t="s">
        <v>704</v>
      </c>
      <c r="Q74" s="13" t="s">
        <v>705</v>
      </c>
      <c r="R74" s="19" t="s">
        <v>706</v>
      </c>
      <c r="S74" s="20" t="s">
        <v>707</v>
      </c>
      <c r="T74" s="13"/>
      <c r="U74" s="21"/>
      <c r="V74" s="21"/>
      <c r="W74" s="21" t="s">
        <v>65</v>
      </c>
      <c r="Z74" s="4" t="s">
        <v>708</v>
      </c>
      <c r="AA74" s="4" t="s">
        <v>709</v>
      </c>
      <c r="AB74" s="4">
        <v>1</v>
      </c>
    </row>
    <row r="75" spans="1:28" ht="24" customHeight="1">
      <c r="A75" s="7"/>
      <c r="B75" s="8">
        <v>69</v>
      </c>
      <c r="C75" s="13" t="s">
        <v>710</v>
      </c>
      <c r="D75" s="13" t="s">
        <v>711</v>
      </c>
      <c r="E75" s="8" t="s">
        <v>70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124</v>
      </c>
      <c r="N75" s="13" t="s">
        <v>125</v>
      </c>
      <c r="O75" s="19" t="s">
        <v>694</v>
      </c>
      <c r="P75" s="13" t="s">
        <v>127</v>
      </c>
      <c r="Q75" s="13" t="s">
        <v>712</v>
      </c>
      <c r="R75" s="19" t="s">
        <v>713</v>
      </c>
      <c r="S75" s="20"/>
      <c r="T75" s="13" t="s">
        <v>714</v>
      </c>
      <c r="U75" s="22"/>
      <c r="V75" s="22"/>
      <c r="W75" s="27" t="s">
        <v>132</v>
      </c>
      <c r="Z75" s="4" t="s">
        <v>715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716</v>
      </c>
      <c r="D76" s="13" t="s">
        <v>717</v>
      </c>
      <c r="E76" s="23" t="s">
        <v>44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580</v>
      </c>
      <c r="R76" s="19" t="s">
        <v>718</v>
      </c>
      <c r="S76" s="20" t="s">
        <v>719</v>
      </c>
      <c r="T76" s="13"/>
      <c r="U76" s="21"/>
      <c r="V76" s="21"/>
      <c r="W76" s="21" t="s">
        <v>99</v>
      </c>
      <c r="Z76" s="4" t="s">
        <v>720</v>
      </c>
      <c r="AA76" s="4" t="s">
        <v>721</v>
      </c>
      <c r="AB76" s="4">
        <v>1</v>
      </c>
    </row>
    <row r="77" spans="1:28" ht="24" customHeight="1">
      <c r="A77" s="7"/>
      <c r="B77" s="8">
        <v>71</v>
      </c>
      <c r="C77" s="13" t="s">
        <v>722</v>
      </c>
      <c r="D77" s="13" t="s">
        <v>723</v>
      </c>
      <c r="E77" s="14" t="s">
        <v>44</v>
      </c>
      <c r="F77" s="15">
        <v>23604</v>
      </c>
      <c r="G77" s="16" t="e">
        <f t="shared" si="2"/>
        <v>#N/A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724</v>
      </c>
      <c r="N77" s="13" t="s">
        <v>725</v>
      </c>
      <c r="O77" s="19" t="s">
        <v>726</v>
      </c>
      <c r="P77" s="13" t="s">
        <v>727</v>
      </c>
      <c r="Q77" s="13" t="s">
        <v>728</v>
      </c>
      <c r="R77" s="19" t="s">
        <v>729</v>
      </c>
      <c r="S77" s="20" t="s">
        <v>730</v>
      </c>
      <c r="T77" s="13"/>
      <c r="U77" s="22"/>
      <c r="V77" s="22" t="s">
        <v>503</v>
      </c>
      <c r="W77" s="22" t="s">
        <v>65</v>
      </c>
      <c r="Z77" s="4" t="s">
        <v>731</v>
      </c>
      <c r="AA77" s="4" t="s">
        <v>732</v>
      </c>
      <c r="AB77" s="4">
        <v>1</v>
      </c>
    </row>
    <row r="78" spans="1:28" ht="24" customHeight="1">
      <c r="A78" s="7"/>
      <c r="B78" s="8">
        <v>72</v>
      </c>
      <c r="C78" s="13" t="s">
        <v>733</v>
      </c>
      <c r="D78" s="13" t="s">
        <v>734</v>
      </c>
      <c r="E78" s="14" t="s">
        <v>44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735</v>
      </c>
      <c r="N78" s="13" t="s">
        <v>229</v>
      </c>
      <c r="O78" s="19" t="s">
        <v>287</v>
      </c>
      <c r="P78" s="13" t="s">
        <v>288</v>
      </c>
      <c r="Q78" s="13" t="s">
        <v>152</v>
      </c>
      <c r="R78" s="19" t="s">
        <v>736</v>
      </c>
      <c r="S78" s="20" t="s">
        <v>737</v>
      </c>
      <c r="T78" s="13"/>
      <c r="U78" s="22"/>
      <c r="V78" s="22"/>
      <c r="W78" s="22" t="s">
        <v>394</v>
      </c>
      <c r="Z78" s="4" t="s">
        <v>738</v>
      </c>
      <c r="AA78" s="4">
        <v>19940629</v>
      </c>
      <c r="AB78" s="4">
        <v>1</v>
      </c>
    </row>
    <row r="79" spans="1:28" ht="24" customHeight="1">
      <c r="A79" s="7" t="s">
        <v>739</v>
      </c>
      <c r="B79" s="8">
        <v>73</v>
      </c>
      <c r="C79" s="13" t="s">
        <v>740</v>
      </c>
      <c r="D79" s="13" t="s">
        <v>741</v>
      </c>
      <c r="E79" s="8" t="s">
        <v>91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742</v>
      </c>
      <c r="N79" s="13" t="s">
        <v>743</v>
      </c>
      <c r="O79" s="19" t="s">
        <v>744</v>
      </c>
      <c r="P79" s="13" t="s">
        <v>745</v>
      </c>
      <c r="Q79" s="13" t="s">
        <v>743</v>
      </c>
      <c r="R79" s="19" t="s">
        <v>746</v>
      </c>
      <c r="S79" s="20" t="s">
        <v>747</v>
      </c>
      <c r="T79" s="13"/>
      <c r="U79" s="21"/>
      <c r="V79" s="21"/>
      <c r="W79" s="21" t="s">
        <v>65</v>
      </c>
      <c r="Z79" s="4" t="s">
        <v>748</v>
      </c>
      <c r="AA79" s="4" t="s">
        <v>749</v>
      </c>
      <c r="AB79" s="4">
        <v>1</v>
      </c>
    </row>
    <row r="80" spans="1:28" ht="24" customHeight="1">
      <c r="A80" s="7"/>
      <c r="B80" s="8">
        <v>74</v>
      </c>
      <c r="C80" s="13" t="s">
        <v>750</v>
      </c>
      <c r="D80" s="13" t="s">
        <v>751</v>
      </c>
      <c r="E80" s="14" t="s">
        <v>57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752</v>
      </c>
      <c r="N80" s="13" t="s">
        <v>266</v>
      </c>
      <c r="O80" s="19" t="s">
        <v>753</v>
      </c>
      <c r="P80" s="13" t="s">
        <v>754</v>
      </c>
      <c r="Q80" s="13" t="s">
        <v>755</v>
      </c>
      <c r="R80" s="19" t="s">
        <v>756</v>
      </c>
      <c r="S80" s="20"/>
      <c r="T80" s="13"/>
      <c r="U80" s="21"/>
      <c r="V80" s="21"/>
      <c r="W80" s="21" t="s">
        <v>65</v>
      </c>
      <c r="Z80" s="4" t="s">
        <v>757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758</v>
      </c>
      <c r="D81" s="13" t="s">
        <v>759</v>
      </c>
      <c r="E81" s="23" t="s">
        <v>57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760</v>
      </c>
      <c r="N81" s="13" t="s">
        <v>152</v>
      </c>
      <c r="O81" s="19" t="s">
        <v>315</v>
      </c>
      <c r="P81" s="13" t="s">
        <v>151</v>
      </c>
      <c r="Q81" s="13" t="s">
        <v>279</v>
      </c>
      <c r="R81" s="19" t="s">
        <v>761</v>
      </c>
      <c r="S81" s="20" t="s">
        <v>762</v>
      </c>
      <c r="T81" s="13"/>
      <c r="U81" s="22"/>
      <c r="V81" s="22"/>
      <c r="W81" s="27" t="s">
        <v>155</v>
      </c>
      <c r="Z81" s="4" t="s">
        <v>763</v>
      </c>
      <c r="AA81" s="4" t="s">
        <v>764</v>
      </c>
      <c r="AB81" s="4">
        <v>1</v>
      </c>
    </row>
    <row r="82" spans="1:28" ht="24" customHeight="1">
      <c r="A82" s="7"/>
      <c r="B82" s="8">
        <v>76</v>
      </c>
      <c r="C82" s="13" t="s">
        <v>765</v>
      </c>
      <c r="D82" s="13" t="s">
        <v>766</v>
      </c>
      <c r="E82" s="23" t="s">
        <v>70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767</v>
      </c>
      <c r="N82" s="13" t="s">
        <v>125</v>
      </c>
      <c r="O82" s="19" t="s">
        <v>768</v>
      </c>
      <c r="P82" s="13" t="s">
        <v>127</v>
      </c>
      <c r="Q82" s="13" t="s">
        <v>769</v>
      </c>
      <c r="R82" s="19" t="s">
        <v>770</v>
      </c>
      <c r="S82" s="20" t="s">
        <v>771</v>
      </c>
      <c r="T82" s="13"/>
      <c r="U82" s="22"/>
      <c r="V82" s="22"/>
      <c r="W82" s="27" t="s">
        <v>132</v>
      </c>
      <c r="Z82" s="4" t="s">
        <v>772</v>
      </c>
      <c r="AA82" s="4" t="s">
        <v>773</v>
      </c>
      <c r="AB82" s="4">
        <v>1</v>
      </c>
    </row>
    <row r="83" spans="1:28" ht="24" customHeight="1">
      <c r="A83" s="7"/>
      <c r="B83" s="8">
        <v>77</v>
      </c>
      <c r="C83" s="13" t="s">
        <v>774</v>
      </c>
      <c r="D83" s="13" t="s">
        <v>775</v>
      </c>
      <c r="E83" s="8" t="s">
        <v>91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776</v>
      </c>
      <c r="N83" s="13" t="s">
        <v>550</v>
      </c>
      <c r="O83" s="19" t="s">
        <v>551</v>
      </c>
      <c r="P83" s="13" t="s">
        <v>552</v>
      </c>
      <c r="Q83" s="13" t="s">
        <v>777</v>
      </c>
      <c r="R83" s="19" t="s">
        <v>778</v>
      </c>
      <c r="S83" s="20" t="s">
        <v>779</v>
      </c>
      <c r="T83" s="13"/>
      <c r="U83" s="21"/>
      <c r="V83" s="21" t="s">
        <v>52</v>
      </c>
      <c r="W83" s="21" t="s">
        <v>65</v>
      </c>
      <c r="Z83" s="4" t="s">
        <v>780</v>
      </c>
      <c r="AA83" s="4" t="s">
        <v>781</v>
      </c>
      <c r="AB83" s="4">
        <v>1</v>
      </c>
    </row>
    <row r="84" spans="1:28" ht="24" customHeight="1">
      <c r="A84" s="7"/>
      <c r="B84" s="8">
        <v>78</v>
      </c>
      <c r="C84" s="13" t="s">
        <v>782</v>
      </c>
      <c r="D84" s="13" t="s">
        <v>783</v>
      </c>
      <c r="E84" s="23" t="s">
        <v>44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362</v>
      </c>
      <c r="N84" s="13" t="s">
        <v>363</v>
      </c>
      <c r="O84" s="19" t="s">
        <v>784</v>
      </c>
      <c r="P84" s="13" t="s">
        <v>365</v>
      </c>
      <c r="Q84" s="13" t="s">
        <v>212</v>
      </c>
      <c r="R84" s="19" t="s">
        <v>785</v>
      </c>
      <c r="S84" s="20" t="s">
        <v>786</v>
      </c>
      <c r="T84" s="13"/>
      <c r="U84" s="22"/>
      <c r="V84" s="22"/>
      <c r="W84" s="22" t="s">
        <v>53</v>
      </c>
      <c r="Z84" s="4" t="s">
        <v>787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788</v>
      </c>
      <c r="D85" s="13" t="s">
        <v>789</v>
      </c>
      <c r="E85" s="8" t="s">
        <v>91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790</v>
      </c>
      <c r="R85" s="19" t="s">
        <v>791</v>
      </c>
      <c r="S85" s="20" t="s">
        <v>792</v>
      </c>
      <c r="T85" s="13"/>
      <c r="U85" s="21"/>
      <c r="V85" s="21"/>
      <c r="W85" s="21" t="s">
        <v>99</v>
      </c>
      <c r="Z85" s="4" t="s">
        <v>793</v>
      </c>
      <c r="AA85" s="34" t="s">
        <v>794</v>
      </c>
      <c r="AB85" s="4">
        <v>1</v>
      </c>
    </row>
    <row r="86" spans="1:28" ht="24" customHeight="1">
      <c r="A86" s="7"/>
      <c r="B86" s="8">
        <v>80</v>
      </c>
      <c r="C86" s="13" t="s">
        <v>795</v>
      </c>
      <c r="D86" s="13" t="s">
        <v>796</v>
      </c>
      <c r="E86" s="8" t="s">
        <v>91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797</v>
      </c>
      <c r="N86" s="13" t="s">
        <v>798</v>
      </c>
      <c r="O86" s="19" t="s">
        <v>799</v>
      </c>
      <c r="P86" s="13" t="s">
        <v>800</v>
      </c>
      <c r="Q86" s="13" t="s">
        <v>801</v>
      </c>
      <c r="R86" s="19" t="s">
        <v>802</v>
      </c>
      <c r="S86" s="20" t="s">
        <v>803</v>
      </c>
      <c r="T86" s="13"/>
      <c r="U86" s="22"/>
      <c r="V86" s="22"/>
      <c r="W86" s="22" t="s">
        <v>65</v>
      </c>
      <c r="Z86" s="4" t="s">
        <v>804</v>
      </c>
      <c r="AA86" s="4" t="s">
        <v>805</v>
      </c>
      <c r="AB86" s="4">
        <v>1</v>
      </c>
    </row>
    <row r="87" spans="1:28" ht="24" customHeight="1">
      <c r="A87" s="7"/>
      <c r="B87" s="8">
        <v>81</v>
      </c>
      <c r="C87" s="13" t="s">
        <v>806</v>
      </c>
      <c r="D87" s="13" t="s">
        <v>807</v>
      </c>
      <c r="E87" s="8" t="s">
        <v>70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767</v>
      </c>
      <c r="N87" s="13" t="s">
        <v>125</v>
      </c>
      <c r="O87" s="19" t="s">
        <v>768</v>
      </c>
      <c r="P87" s="13" t="s">
        <v>127</v>
      </c>
      <c r="Q87" s="13" t="s">
        <v>808</v>
      </c>
      <c r="R87" s="19" t="s">
        <v>809</v>
      </c>
      <c r="S87" s="20" t="s">
        <v>810</v>
      </c>
      <c r="T87" s="13"/>
      <c r="U87" s="22"/>
      <c r="V87" s="22"/>
      <c r="W87" s="27" t="s">
        <v>132</v>
      </c>
      <c r="Z87" s="4" t="s">
        <v>811</v>
      </c>
      <c r="AA87" s="4" t="s">
        <v>812</v>
      </c>
      <c r="AB87" s="4">
        <v>1</v>
      </c>
    </row>
    <row r="88" spans="1:28" ht="24" customHeight="1">
      <c r="A88" s="7"/>
      <c r="B88" s="8">
        <v>82</v>
      </c>
      <c r="C88" s="13" t="s">
        <v>813</v>
      </c>
      <c r="D88" s="13" t="s">
        <v>814</v>
      </c>
      <c r="E88" s="8" t="s">
        <v>91</v>
      </c>
      <c r="F88" s="15">
        <v>24344</v>
      </c>
      <c r="G88" s="16" t="e">
        <f t="shared" si="2"/>
        <v>#N/A</v>
      </c>
      <c r="H88" s="17">
        <f t="shared" ca="1" si="3"/>
        <v>58</v>
      </c>
      <c r="I88" s="13">
        <v>352606</v>
      </c>
      <c r="J88" s="15">
        <v>34087</v>
      </c>
      <c r="K88" s="15">
        <v>34171</v>
      </c>
      <c r="L88" s="18"/>
      <c r="M88" s="13" t="s">
        <v>815</v>
      </c>
      <c r="N88" s="13" t="s">
        <v>338</v>
      </c>
      <c r="O88" s="19" t="s">
        <v>816</v>
      </c>
      <c r="P88" s="13" t="s">
        <v>817</v>
      </c>
      <c r="Q88" s="13" t="s">
        <v>338</v>
      </c>
      <c r="R88" s="19" t="s">
        <v>818</v>
      </c>
      <c r="S88" s="20" t="s">
        <v>819</v>
      </c>
      <c r="T88" s="13"/>
      <c r="U88" s="21"/>
      <c r="V88" s="21"/>
      <c r="W88" s="21" t="s">
        <v>65</v>
      </c>
      <c r="Z88" s="4" t="s">
        <v>820</v>
      </c>
      <c r="AA88" s="4" t="s">
        <v>821</v>
      </c>
      <c r="AB88" s="4">
        <v>1</v>
      </c>
    </row>
    <row r="89" spans="1:28" ht="24" customHeight="1">
      <c r="A89" s="7" t="s">
        <v>822</v>
      </c>
      <c r="B89" s="8">
        <v>83</v>
      </c>
      <c r="C89" s="13" t="s">
        <v>823</v>
      </c>
      <c r="D89" s="13" t="s">
        <v>824</v>
      </c>
      <c r="E89" s="14" t="s">
        <v>44</v>
      </c>
      <c r="F89" s="15">
        <v>31637</v>
      </c>
      <c r="G89" s="16" t="e">
        <f t="shared" si="2"/>
        <v>#N/A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760</v>
      </c>
      <c r="N89" s="13" t="s">
        <v>152</v>
      </c>
      <c r="O89" s="19" t="s">
        <v>315</v>
      </c>
      <c r="P89" s="13" t="s">
        <v>151</v>
      </c>
      <c r="Q89" s="13" t="s">
        <v>825</v>
      </c>
      <c r="R89" s="19" t="s">
        <v>826</v>
      </c>
      <c r="S89" s="20" t="s">
        <v>827</v>
      </c>
      <c r="T89" s="13"/>
      <c r="U89" s="22"/>
      <c r="V89" s="22"/>
      <c r="W89" s="27" t="s">
        <v>155</v>
      </c>
      <c r="Z89" s="4" t="s">
        <v>828</v>
      </c>
      <c r="AA89" s="4" t="s">
        <v>829</v>
      </c>
      <c r="AB89" s="4">
        <v>1</v>
      </c>
    </row>
    <row r="90" spans="1:28" ht="24" customHeight="1">
      <c r="A90" s="7"/>
      <c r="B90" s="8">
        <v>84</v>
      </c>
      <c r="C90" s="13" t="s">
        <v>830</v>
      </c>
      <c r="D90" s="13" t="s">
        <v>831</v>
      </c>
      <c r="E90" s="8" t="s">
        <v>91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832</v>
      </c>
      <c r="N90" s="13" t="s">
        <v>833</v>
      </c>
      <c r="O90" s="19" t="s">
        <v>834</v>
      </c>
      <c r="P90" s="13" t="s">
        <v>835</v>
      </c>
      <c r="Q90" s="13" t="s">
        <v>248</v>
      </c>
      <c r="R90" s="19" t="s">
        <v>836</v>
      </c>
      <c r="S90" s="20" t="s">
        <v>837</v>
      </c>
      <c r="T90" s="13"/>
      <c r="U90" s="21"/>
      <c r="V90" s="21"/>
      <c r="W90" s="21" t="s">
        <v>53</v>
      </c>
      <c r="Z90" s="4" t="s">
        <v>838</v>
      </c>
      <c r="AA90" s="4" t="s">
        <v>839</v>
      </c>
      <c r="AB90" s="4">
        <v>1</v>
      </c>
    </row>
    <row r="91" spans="1:28" ht="24" customHeight="1">
      <c r="A91" s="7"/>
      <c r="B91" s="8">
        <v>85</v>
      </c>
      <c r="C91" s="13" t="s">
        <v>840</v>
      </c>
      <c r="D91" s="13" t="s">
        <v>841</v>
      </c>
      <c r="E91" s="8" t="s">
        <v>91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842</v>
      </c>
      <c r="N91" s="13" t="s">
        <v>843</v>
      </c>
      <c r="O91" s="19" t="s">
        <v>844</v>
      </c>
      <c r="P91" s="13" t="s">
        <v>845</v>
      </c>
      <c r="Q91" s="13" t="s">
        <v>843</v>
      </c>
      <c r="R91" s="19" t="s">
        <v>846</v>
      </c>
      <c r="S91" s="20" t="s">
        <v>847</v>
      </c>
      <c r="T91" s="13"/>
      <c r="U91" s="21"/>
      <c r="V91" s="21" t="s">
        <v>848</v>
      </c>
      <c r="W91" s="21" t="s">
        <v>65</v>
      </c>
      <c r="Z91" s="4" t="s">
        <v>849</v>
      </c>
      <c r="AA91" s="4" t="s">
        <v>850</v>
      </c>
    </row>
    <row r="92" spans="1:28" ht="24" customHeight="1">
      <c r="A92" s="7"/>
      <c r="B92" s="8">
        <v>86</v>
      </c>
      <c r="C92" s="13" t="s">
        <v>851</v>
      </c>
      <c r="D92" s="13" t="s">
        <v>852</v>
      </c>
      <c r="E92" s="8" t="s">
        <v>91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853</v>
      </c>
      <c r="N92" s="13" t="s">
        <v>854</v>
      </c>
      <c r="O92" s="19" t="s">
        <v>855</v>
      </c>
      <c r="P92" s="13" t="s">
        <v>856</v>
      </c>
      <c r="Q92" s="13" t="s">
        <v>857</v>
      </c>
      <c r="R92" s="19" t="s">
        <v>858</v>
      </c>
      <c r="S92" s="20" t="s">
        <v>859</v>
      </c>
      <c r="T92" s="13"/>
      <c r="U92" s="21"/>
      <c r="V92" s="21" t="s">
        <v>52</v>
      </c>
      <c r="W92" s="21" t="s">
        <v>65</v>
      </c>
      <c r="Z92" s="4" t="s">
        <v>860</v>
      </c>
      <c r="AA92" s="4" t="s">
        <v>861</v>
      </c>
      <c r="AB92" s="4">
        <v>1</v>
      </c>
    </row>
    <row r="93" spans="1:28" ht="24" customHeight="1">
      <c r="A93" s="7"/>
      <c r="B93" s="8">
        <v>87</v>
      </c>
      <c r="C93" s="13" t="s">
        <v>862</v>
      </c>
      <c r="D93" s="13" t="s">
        <v>863</v>
      </c>
      <c r="E93" s="23" t="s">
        <v>44</v>
      </c>
      <c r="F93" s="15">
        <v>22524</v>
      </c>
      <c r="G93" s="16" t="e">
        <f t="shared" si="2"/>
        <v>#N/A</v>
      </c>
      <c r="H93" s="17">
        <f t="shared" ca="1" si="3"/>
        <v>63</v>
      </c>
      <c r="I93" s="13">
        <v>305093</v>
      </c>
      <c r="J93" s="15">
        <v>31919</v>
      </c>
      <c r="K93" s="15">
        <v>32185</v>
      </c>
      <c r="L93" s="18"/>
      <c r="M93" s="13" t="s">
        <v>864</v>
      </c>
      <c r="N93" s="13" t="s">
        <v>865</v>
      </c>
      <c r="O93" s="19" t="s">
        <v>866</v>
      </c>
      <c r="P93" s="13" t="s">
        <v>867</v>
      </c>
      <c r="Q93" s="13" t="s">
        <v>865</v>
      </c>
      <c r="R93" s="19" t="s">
        <v>866</v>
      </c>
      <c r="S93" s="20" t="s">
        <v>868</v>
      </c>
      <c r="T93" s="13"/>
      <c r="U93" s="21"/>
      <c r="V93" s="21"/>
      <c r="W93" s="21" t="s">
        <v>65</v>
      </c>
      <c r="Z93" s="4" t="s">
        <v>869</v>
      </c>
      <c r="AA93" s="4" t="s">
        <v>870</v>
      </c>
      <c r="AB93" s="4">
        <v>1</v>
      </c>
    </row>
    <row r="94" spans="1:28" ht="24" customHeight="1">
      <c r="A94" s="7"/>
      <c r="B94" s="8">
        <v>88</v>
      </c>
      <c r="C94" s="13" t="s">
        <v>871</v>
      </c>
      <c r="D94" s="13" t="s">
        <v>872</v>
      </c>
      <c r="E94" s="8" t="s">
        <v>91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873</v>
      </c>
      <c r="N94" s="13" t="s">
        <v>519</v>
      </c>
      <c r="O94" s="19" t="s">
        <v>874</v>
      </c>
      <c r="P94" s="13" t="s">
        <v>875</v>
      </c>
      <c r="Q94" s="13" t="s">
        <v>876</v>
      </c>
      <c r="R94" s="19" t="s">
        <v>874</v>
      </c>
      <c r="S94" s="20" t="s">
        <v>877</v>
      </c>
      <c r="T94" s="13"/>
      <c r="U94" s="22"/>
      <c r="V94" s="22"/>
      <c r="W94" s="22" t="s">
        <v>65</v>
      </c>
      <c r="Z94" s="4" t="s">
        <v>878</v>
      </c>
      <c r="AA94" s="4" t="s">
        <v>879</v>
      </c>
      <c r="AB94" s="4">
        <v>1</v>
      </c>
    </row>
    <row r="95" spans="1:28" ht="24" customHeight="1">
      <c r="A95" s="7"/>
      <c r="B95" s="8">
        <v>89</v>
      </c>
      <c r="C95" s="13" t="s">
        <v>880</v>
      </c>
      <c r="D95" s="13" t="s">
        <v>881</v>
      </c>
      <c r="E95" s="8" t="s">
        <v>91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873</v>
      </c>
      <c r="N95" s="13" t="s">
        <v>865</v>
      </c>
      <c r="O95" s="19" t="s">
        <v>882</v>
      </c>
      <c r="P95" s="13" t="s">
        <v>883</v>
      </c>
      <c r="Q95" s="13" t="s">
        <v>884</v>
      </c>
      <c r="R95" s="19" t="s">
        <v>885</v>
      </c>
      <c r="S95" s="20" t="s">
        <v>886</v>
      </c>
      <c r="T95" s="13"/>
      <c r="U95" s="22"/>
      <c r="V95" s="22"/>
      <c r="W95" s="22" t="s">
        <v>65</v>
      </c>
      <c r="Z95" s="4" t="s">
        <v>887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888</v>
      </c>
      <c r="D96" s="13" t="s">
        <v>889</v>
      </c>
      <c r="E96" s="23" t="s">
        <v>44</v>
      </c>
      <c r="F96" s="15">
        <v>27267</v>
      </c>
      <c r="G96" s="16" t="e">
        <f t="shared" si="2"/>
        <v>#N/A</v>
      </c>
      <c r="H96" s="17">
        <f t="shared" ca="1" si="3"/>
        <v>50</v>
      </c>
      <c r="I96" s="13">
        <v>404050</v>
      </c>
      <c r="J96" s="15">
        <v>36290</v>
      </c>
      <c r="K96" s="15">
        <v>36306</v>
      </c>
      <c r="L96" s="18"/>
      <c r="M96" s="13" t="s">
        <v>890</v>
      </c>
      <c r="N96" s="13" t="s">
        <v>891</v>
      </c>
      <c r="O96" s="19" t="s">
        <v>892</v>
      </c>
      <c r="P96" s="13" t="s">
        <v>893</v>
      </c>
      <c r="Q96" s="13" t="s">
        <v>894</v>
      </c>
      <c r="R96" s="19" t="s">
        <v>895</v>
      </c>
      <c r="S96" s="20" t="s">
        <v>896</v>
      </c>
      <c r="T96" s="13"/>
      <c r="U96" s="22"/>
      <c r="V96" s="22"/>
      <c r="W96" s="22" t="s">
        <v>53</v>
      </c>
      <c r="Z96" s="4" t="s">
        <v>897</v>
      </c>
      <c r="AA96" s="4" t="s">
        <v>898</v>
      </c>
      <c r="AB96" s="4">
        <v>1</v>
      </c>
    </row>
    <row r="97" spans="1:29" ht="24" customHeight="1">
      <c r="A97" s="7"/>
      <c r="B97" s="8">
        <v>91</v>
      </c>
      <c r="C97" s="13" t="s">
        <v>899</v>
      </c>
      <c r="D97" s="13" t="s">
        <v>900</v>
      </c>
      <c r="E97" s="8" t="s">
        <v>91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890</v>
      </c>
      <c r="N97" s="13" t="s">
        <v>891</v>
      </c>
      <c r="O97" s="19" t="s">
        <v>901</v>
      </c>
      <c r="P97" s="13" t="s">
        <v>893</v>
      </c>
      <c r="Q97" s="13" t="s">
        <v>894</v>
      </c>
      <c r="R97" s="19" t="s">
        <v>895</v>
      </c>
      <c r="S97" s="20" t="s">
        <v>896</v>
      </c>
      <c r="T97" s="13"/>
      <c r="U97" s="21"/>
      <c r="V97" s="21" t="s">
        <v>188</v>
      </c>
      <c r="W97" s="21" t="s">
        <v>65</v>
      </c>
      <c r="Z97" s="4" t="s">
        <v>902</v>
      </c>
      <c r="AA97" s="4" t="s">
        <v>903</v>
      </c>
      <c r="AB97" s="4">
        <v>1</v>
      </c>
    </row>
    <row r="98" spans="1:29" ht="24" customHeight="1">
      <c r="A98" s="7"/>
      <c r="B98" s="8">
        <v>92</v>
      </c>
      <c r="C98" s="13" t="s">
        <v>904</v>
      </c>
      <c r="D98" s="13" t="s">
        <v>905</v>
      </c>
      <c r="E98" s="8" t="s">
        <v>91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906</v>
      </c>
      <c r="N98" s="13" t="s">
        <v>907</v>
      </c>
      <c r="O98" s="19" t="s">
        <v>908</v>
      </c>
      <c r="P98" s="13" t="s">
        <v>909</v>
      </c>
      <c r="Q98" s="13" t="s">
        <v>910</v>
      </c>
      <c r="R98" s="19" t="s">
        <v>911</v>
      </c>
      <c r="S98" s="20" t="s">
        <v>912</v>
      </c>
      <c r="T98" s="13"/>
      <c r="U98" s="29" t="s">
        <v>1059</v>
      </c>
      <c r="V98" s="22" t="s">
        <v>52</v>
      </c>
      <c r="W98" s="22" t="s">
        <v>65</v>
      </c>
      <c r="Z98" s="4" t="s">
        <v>913</v>
      </c>
      <c r="AA98" s="4" t="s">
        <v>914</v>
      </c>
      <c r="AB98" s="4">
        <v>1</v>
      </c>
    </row>
    <row r="99" spans="1:29" ht="24" customHeight="1">
      <c r="A99" s="7"/>
      <c r="B99" s="8">
        <v>93</v>
      </c>
      <c r="C99" s="13" t="s">
        <v>915</v>
      </c>
      <c r="D99" s="13" t="s">
        <v>916</v>
      </c>
      <c r="E99" s="8" t="s">
        <v>57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917</v>
      </c>
      <c r="N99" s="13" t="s">
        <v>125</v>
      </c>
      <c r="O99" s="19" t="s">
        <v>918</v>
      </c>
      <c r="P99" s="13" t="s">
        <v>151</v>
      </c>
      <c r="Q99" s="13" t="s">
        <v>919</v>
      </c>
      <c r="R99" s="19" t="s">
        <v>920</v>
      </c>
      <c r="S99" s="20" t="s">
        <v>921</v>
      </c>
      <c r="T99" s="13"/>
      <c r="U99" s="22"/>
      <c r="V99" s="22"/>
      <c r="W99" s="27" t="s">
        <v>132</v>
      </c>
      <c r="X99" s="4" t="s">
        <v>922</v>
      </c>
      <c r="Z99" s="4" t="s">
        <v>923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924</v>
      </c>
      <c r="D100" s="13" t="s">
        <v>925</v>
      </c>
      <c r="E100" s="23" t="s">
        <v>44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926</v>
      </c>
      <c r="N100" s="13" t="s">
        <v>927</v>
      </c>
      <c r="O100" s="19" t="s">
        <v>928</v>
      </c>
      <c r="P100" s="13" t="s">
        <v>929</v>
      </c>
      <c r="Q100" s="13" t="s">
        <v>171</v>
      </c>
      <c r="R100" s="19" t="s">
        <v>930</v>
      </c>
      <c r="S100" s="20" t="s">
        <v>931</v>
      </c>
      <c r="T100" s="13"/>
      <c r="U100" s="22"/>
      <c r="V100" s="22"/>
      <c r="W100" s="22" t="s">
        <v>53</v>
      </c>
      <c r="Z100" s="4" t="s">
        <v>932</v>
      </c>
      <c r="AA100" s="4" t="s">
        <v>933</v>
      </c>
      <c r="AB100" s="4">
        <v>1</v>
      </c>
    </row>
    <row r="101" spans="1:29" ht="24" customHeight="1">
      <c r="A101" s="7"/>
      <c r="B101" s="8">
        <v>95</v>
      </c>
      <c r="C101" s="13" t="s">
        <v>934</v>
      </c>
      <c r="D101" s="13" t="s">
        <v>935</v>
      </c>
      <c r="E101" s="14" t="s">
        <v>44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936</v>
      </c>
      <c r="N101" s="13" t="s">
        <v>937</v>
      </c>
      <c r="O101" s="19" t="s">
        <v>938</v>
      </c>
      <c r="P101" s="13" t="s">
        <v>939</v>
      </c>
      <c r="Q101" s="13" t="s">
        <v>940</v>
      </c>
      <c r="R101" s="19" t="s">
        <v>941</v>
      </c>
      <c r="S101" s="20" t="s">
        <v>942</v>
      </c>
      <c r="T101" s="13"/>
      <c r="U101" s="29" t="s">
        <v>1060</v>
      </c>
      <c r="V101" s="21" t="s">
        <v>52</v>
      </c>
      <c r="W101" s="21" t="s">
        <v>65</v>
      </c>
      <c r="Z101" s="4" t="s">
        <v>943</v>
      </c>
      <c r="AA101" s="4" t="s">
        <v>944</v>
      </c>
      <c r="AB101" s="4">
        <v>1</v>
      </c>
    </row>
    <row r="102" spans="1:29" ht="24" customHeight="1">
      <c r="A102" s="7"/>
      <c r="B102" s="8">
        <v>96</v>
      </c>
      <c r="C102" s="13" t="s">
        <v>945</v>
      </c>
      <c r="D102" s="13" t="s">
        <v>946</v>
      </c>
      <c r="E102" s="14" t="s">
        <v>57</v>
      </c>
      <c r="F102" s="15">
        <v>27990</v>
      </c>
      <c r="G102" s="16" t="e">
        <f>DATESTRING(F102)</f>
        <v>#N/A</v>
      </c>
      <c r="H102" s="17">
        <f t="shared" ca="1" si="3"/>
        <v>48</v>
      </c>
      <c r="I102" s="13">
        <v>434411</v>
      </c>
      <c r="J102" s="15">
        <v>37749</v>
      </c>
      <c r="K102" s="15"/>
      <c r="L102" s="18" t="s">
        <v>947</v>
      </c>
      <c r="M102" s="13" t="s">
        <v>948</v>
      </c>
      <c r="N102" s="13" t="s">
        <v>93</v>
      </c>
      <c r="O102" s="19" t="s">
        <v>949</v>
      </c>
      <c r="P102" s="13" t="s">
        <v>950</v>
      </c>
      <c r="Q102" s="13" t="s">
        <v>951</v>
      </c>
      <c r="R102" s="19" t="s">
        <v>952</v>
      </c>
      <c r="S102" s="20" t="s">
        <v>953</v>
      </c>
      <c r="T102" s="13"/>
      <c r="U102" s="22"/>
      <c r="V102" s="22"/>
      <c r="W102" s="27" t="s">
        <v>155</v>
      </c>
      <c r="X102" s="4" t="s">
        <v>954</v>
      </c>
      <c r="Y102" s="6">
        <v>44734</v>
      </c>
      <c r="Z102" s="4" t="s">
        <v>955</v>
      </c>
      <c r="AA102" s="4" t="s">
        <v>956</v>
      </c>
      <c r="AB102" s="4">
        <v>1</v>
      </c>
    </row>
    <row r="103" spans="1:29" ht="24" customHeight="1">
      <c r="A103" s="7" t="s">
        <v>957</v>
      </c>
      <c r="B103" s="8">
        <f>B102+1</f>
        <v>97</v>
      </c>
      <c r="C103" s="13" t="s">
        <v>958</v>
      </c>
      <c r="D103" s="13" t="s">
        <v>959</v>
      </c>
      <c r="E103" s="14" t="s">
        <v>57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960</v>
      </c>
      <c r="N103" s="13" t="s">
        <v>125</v>
      </c>
      <c r="O103" s="19" t="s">
        <v>961</v>
      </c>
      <c r="P103" s="13" t="s">
        <v>127</v>
      </c>
      <c r="Q103" s="13" t="s">
        <v>152</v>
      </c>
      <c r="R103" s="19" t="s">
        <v>962</v>
      </c>
      <c r="S103" s="20"/>
      <c r="T103" s="13" t="s">
        <v>963</v>
      </c>
      <c r="U103" s="1" t="s">
        <v>964</v>
      </c>
      <c r="V103" s="22"/>
      <c r="W103" s="27" t="s">
        <v>132</v>
      </c>
      <c r="Y103" s="6"/>
      <c r="Z103" s="28" t="s">
        <v>965</v>
      </c>
      <c r="AA103" s="28" t="s">
        <v>966</v>
      </c>
      <c r="AB103" s="4">
        <v>1</v>
      </c>
    </row>
    <row r="104" spans="1:29" ht="24" customHeight="1">
      <c r="A104" s="7"/>
      <c r="B104" s="8">
        <v>97</v>
      </c>
      <c r="C104" s="13" t="s">
        <v>967</v>
      </c>
      <c r="D104" s="13" t="s">
        <v>968</v>
      </c>
      <c r="E104" s="8" t="s">
        <v>91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760</v>
      </c>
      <c r="N104" s="13" t="s">
        <v>152</v>
      </c>
      <c r="O104" s="19" t="s">
        <v>315</v>
      </c>
      <c r="P104" s="13" t="s">
        <v>151</v>
      </c>
      <c r="Q104" s="13" t="s">
        <v>969</v>
      </c>
      <c r="R104" s="19" t="s">
        <v>970</v>
      </c>
      <c r="S104" s="20" t="s">
        <v>971</v>
      </c>
      <c r="T104" s="13"/>
      <c r="U104" s="22"/>
      <c r="V104" s="22"/>
      <c r="W104" s="27" t="s">
        <v>155</v>
      </c>
      <c r="Z104" s="4" t="s">
        <v>972</v>
      </c>
      <c r="AA104" s="4" t="s">
        <v>973</v>
      </c>
      <c r="AB104" s="4">
        <v>1</v>
      </c>
    </row>
    <row r="105" spans="1:29" ht="24" customHeight="1">
      <c r="A105" s="7"/>
      <c r="B105" s="8">
        <v>98</v>
      </c>
      <c r="C105" s="13" t="s">
        <v>974</v>
      </c>
      <c r="D105" s="13" t="s">
        <v>975</v>
      </c>
      <c r="E105" s="8" t="s">
        <v>91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976</v>
      </c>
      <c r="N105" s="13" t="s">
        <v>977</v>
      </c>
      <c r="O105" s="19" t="s">
        <v>978</v>
      </c>
      <c r="P105" s="13" t="s">
        <v>979</v>
      </c>
      <c r="Q105" s="13" t="s">
        <v>977</v>
      </c>
      <c r="R105" s="19" t="s">
        <v>980</v>
      </c>
      <c r="S105" s="20" t="s">
        <v>981</v>
      </c>
      <c r="T105" s="13"/>
      <c r="U105" s="21"/>
      <c r="V105" s="21"/>
      <c r="W105" s="21" t="s">
        <v>65</v>
      </c>
      <c r="Z105" s="4" t="s">
        <v>982</v>
      </c>
      <c r="AA105" s="4" t="s">
        <v>983</v>
      </c>
      <c r="AB105" s="4">
        <v>1</v>
      </c>
    </row>
    <row r="106" spans="1:29" ht="24" customHeight="1">
      <c r="A106" s="7"/>
      <c r="B106" s="8">
        <v>99</v>
      </c>
      <c r="C106" s="13" t="s">
        <v>984</v>
      </c>
      <c r="D106" s="13" t="s">
        <v>985</v>
      </c>
      <c r="E106" s="23" t="s">
        <v>44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986</v>
      </c>
      <c r="N106" s="13" t="s">
        <v>987</v>
      </c>
      <c r="O106" s="19" t="s">
        <v>988</v>
      </c>
      <c r="P106" s="13" t="s">
        <v>989</v>
      </c>
      <c r="Q106" s="13" t="s">
        <v>990</v>
      </c>
      <c r="R106" s="19" t="s">
        <v>980</v>
      </c>
      <c r="S106" s="20" t="s">
        <v>991</v>
      </c>
      <c r="T106" s="13"/>
      <c r="U106" s="22"/>
      <c r="V106" s="22" t="s">
        <v>503</v>
      </c>
      <c r="W106" s="22" t="s">
        <v>65</v>
      </c>
      <c r="Z106" s="4" t="s">
        <v>992</v>
      </c>
      <c r="AA106" s="4" t="s">
        <v>993</v>
      </c>
      <c r="AB106" s="4">
        <v>1</v>
      </c>
    </row>
    <row r="107" spans="1:29" ht="24" customHeight="1">
      <c r="A107" s="7"/>
      <c r="B107" s="8">
        <v>100</v>
      </c>
      <c r="C107" s="13" t="s">
        <v>994</v>
      </c>
      <c r="D107" s="13" t="s">
        <v>995</v>
      </c>
      <c r="E107" s="8" t="s">
        <v>91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996</v>
      </c>
      <c r="N107" s="13" t="s">
        <v>997</v>
      </c>
      <c r="O107" s="19" t="s">
        <v>998</v>
      </c>
      <c r="P107" s="13" t="s">
        <v>999</v>
      </c>
      <c r="Q107" s="13" t="s">
        <v>1000</v>
      </c>
      <c r="R107" s="19" t="s">
        <v>1001</v>
      </c>
      <c r="S107" s="13" t="s">
        <v>1002</v>
      </c>
      <c r="T107" s="13"/>
      <c r="U107" s="22"/>
      <c r="V107" s="22" t="s">
        <v>52</v>
      </c>
      <c r="W107" s="22" t="s">
        <v>65</v>
      </c>
      <c r="Z107" s="4" t="s">
        <v>1003</v>
      </c>
      <c r="AA107" s="4" t="s">
        <v>1004</v>
      </c>
      <c r="AB107" s="4">
        <v>1</v>
      </c>
    </row>
    <row r="108" spans="1:29" ht="24" customHeight="1">
      <c r="A108" s="7"/>
      <c r="B108" s="8">
        <v>101</v>
      </c>
      <c r="C108" s="13" t="s">
        <v>1005</v>
      </c>
      <c r="D108" s="13" t="s">
        <v>1006</v>
      </c>
      <c r="E108" s="8" t="s">
        <v>70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244</v>
      </c>
      <c r="N108" s="13" t="s">
        <v>245</v>
      </c>
      <c r="O108" s="19" t="s">
        <v>1007</v>
      </c>
      <c r="P108" s="13" t="s">
        <v>247</v>
      </c>
      <c r="Q108" s="13" t="s">
        <v>728</v>
      </c>
      <c r="R108" s="19" t="s">
        <v>1008</v>
      </c>
      <c r="S108" s="13" t="s">
        <v>1009</v>
      </c>
      <c r="U108" s="3" t="s">
        <v>1010</v>
      </c>
      <c r="V108" s="22"/>
      <c r="W108" s="22" t="s">
        <v>394</v>
      </c>
      <c r="Z108" s="4" t="s">
        <v>1011</v>
      </c>
      <c r="AA108" s="4" t="s">
        <v>1012</v>
      </c>
      <c r="AB108" s="4">
        <v>1</v>
      </c>
    </row>
    <row r="109" spans="1:29" ht="24" customHeight="1">
      <c r="A109" s="7"/>
      <c r="B109" s="8">
        <v>102</v>
      </c>
      <c r="C109" s="13" t="s">
        <v>1013</v>
      </c>
      <c r="D109" s="13" t="s">
        <v>1014</v>
      </c>
      <c r="E109" s="14" t="s">
        <v>44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1015</v>
      </c>
      <c r="R109" s="19" t="s">
        <v>1016</v>
      </c>
      <c r="S109" s="13" t="s">
        <v>1017</v>
      </c>
      <c r="T109" s="13"/>
      <c r="U109" s="21"/>
      <c r="V109" s="21"/>
      <c r="W109" s="21" t="s">
        <v>99</v>
      </c>
      <c r="X109" s="21" t="s">
        <v>1018</v>
      </c>
      <c r="Z109" s="4" t="s">
        <v>1019</v>
      </c>
      <c r="AA109" s="4" t="s">
        <v>1020</v>
      </c>
      <c r="AC109" s="4" t="s">
        <v>1061</v>
      </c>
    </row>
    <row r="110" spans="1:29" ht="24" customHeight="1">
      <c r="A110" s="7"/>
      <c r="B110" s="8">
        <v>103</v>
      </c>
      <c r="C110" s="13" t="s">
        <v>1021</v>
      </c>
      <c r="D110" s="13" t="s">
        <v>1022</v>
      </c>
      <c r="E110" s="8" t="s">
        <v>91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1023</v>
      </c>
      <c r="N110" s="13" t="s">
        <v>1024</v>
      </c>
      <c r="O110" s="19" t="s">
        <v>1025</v>
      </c>
      <c r="P110" s="13" t="s">
        <v>1026</v>
      </c>
      <c r="Q110" s="13" t="s">
        <v>1027</v>
      </c>
      <c r="R110" s="19" t="s">
        <v>1028</v>
      </c>
      <c r="S110" s="13" t="s">
        <v>1029</v>
      </c>
      <c r="T110" s="13"/>
      <c r="U110" s="22"/>
      <c r="V110" s="22"/>
      <c r="W110" s="22" t="s">
        <v>65</v>
      </c>
      <c r="Z110" s="4" t="s">
        <v>1030</v>
      </c>
      <c r="AA110" s="4" t="s">
        <v>1031</v>
      </c>
    </row>
    <row r="111" spans="1:29" ht="24" customHeight="1">
      <c r="A111" s="7" t="s">
        <v>1032</v>
      </c>
      <c r="B111" s="8">
        <v>104</v>
      </c>
      <c r="C111" s="13" t="s">
        <v>1033</v>
      </c>
      <c r="D111" s="13" t="s">
        <v>1034</v>
      </c>
      <c r="E111" s="8" t="s">
        <v>91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81</v>
      </c>
      <c r="N111" s="13" t="s">
        <v>82</v>
      </c>
      <c r="O111" s="19" t="s">
        <v>83</v>
      </c>
      <c r="P111" s="13" t="s">
        <v>84</v>
      </c>
      <c r="Q111" s="13" t="s">
        <v>1035</v>
      </c>
      <c r="R111" s="19" t="s">
        <v>1036</v>
      </c>
      <c r="S111" s="13"/>
      <c r="T111" s="13" t="s">
        <v>1037</v>
      </c>
      <c r="U111" s="22"/>
      <c r="V111" s="22"/>
      <c r="W111" s="22" t="s">
        <v>53</v>
      </c>
      <c r="Z111" s="4" t="s">
        <v>1038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1039</v>
      </c>
      <c r="I114" s="4" t="s">
        <v>1040</v>
      </c>
      <c r="J114" s="4">
        <f>COUNTIF($E4:$E111,"M")</f>
        <v>62</v>
      </c>
    </row>
    <row r="115" spans="1:18">
      <c r="I115" s="4" t="s">
        <v>1041</v>
      </c>
      <c r="J115" s="4">
        <f>COUNTIF($E4:$E111,"W")</f>
        <v>46</v>
      </c>
    </row>
    <row r="117" spans="1:18">
      <c r="G117" s="4" t="s">
        <v>1042</v>
      </c>
      <c r="H117" s="4" t="s">
        <v>1043</v>
      </c>
      <c r="I117" s="4" t="s">
        <v>1040</v>
      </c>
      <c r="J117" s="4">
        <f ca="1">COUNTIFS($E$4:$E$111,"M",$H$4:$H$111,"&lt;=39")</f>
        <v>9</v>
      </c>
    </row>
    <row r="118" spans="1:18">
      <c r="H118" s="4" t="s">
        <v>1043</v>
      </c>
      <c r="I118" s="4" t="s">
        <v>1041</v>
      </c>
      <c r="J118" s="4">
        <f ca="1">COUNTIFS($E$4:$E$111,"W",$H$4:$H$111,"&lt;=39")</f>
        <v>6</v>
      </c>
    </row>
    <row r="119" spans="1:18">
      <c r="H119" s="4" t="s">
        <v>1044</v>
      </c>
      <c r="I119" s="4" t="s">
        <v>1040</v>
      </c>
      <c r="J119" s="4">
        <f ca="1">COUNTIFS($E$4:$E$111,"M",$H$4:$H$111,"&gt;=40",$H$4:$H$111,"&lt;50")</f>
        <v>4</v>
      </c>
    </row>
    <row r="120" spans="1:18">
      <c r="H120" s="4" t="s">
        <v>1044</v>
      </c>
      <c r="I120" s="4" t="s">
        <v>1041</v>
      </c>
      <c r="J120" s="4">
        <f ca="1">COUNTIFS($E$4:$E$111,"W",$H$4:$H$111,"&gt;=40",$H$4:$H$111,"&lt;50")</f>
        <v>10</v>
      </c>
    </row>
    <row r="121" spans="1:18">
      <c r="H121" s="4" t="s">
        <v>1045</v>
      </c>
      <c r="I121" s="4" t="s">
        <v>1040</v>
      </c>
      <c r="J121" s="4">
        <f ca="1">COUNTIFS($E$4:$E$111,"M",$H$4:$H$111,"&gt;=50",$H$4:$H$111,"&lt;60")</f>
        <v>18</v>
      </c>
    </row>
    <row r="122" spans="1:18">
      <c r="H122" s="4" t="s">
        <v>1045</v>
      </c>
      <c r="I122" s="4" t="s">
        <v>1041</v>
      </c>
      <c r="J122" s="4">
        <f ca="1">COUNTIFS($E$4:$E$111,"W",$H$4:$H$111,"&gt;=50",$H$4:$H$111,"&lt;60")</f>
        <v>13</v>
      </c>
    </row>
    <row r="123" spans="1:18">
      <c r="H123" s="4" t="s">
        <v>1046</v>
      </c>
      <c r="I123" s="4" t="s">
        <v>1040</v>
      </c>
      <c r="J123" s="4">
        <f ca="1">COUNTIFS($E$4:$E$111,"M",$H$4:$H$111,"&gt;=60",$H$4:$H$111,"&lt;70")</f>
        <v>15</v>
      </c>
    </row>
    <row r="124" spans="1:18">
      <c r="H124" s="4" t="s">
        <v>1046</v>
      </c>
      <c r="I124" s="4" t="s">
        <v>1041</v>
      </c>
      <c r="J124" s="4">
        <f ca="1">COUNTIFS($E$4:$E$111,"W",$H$4:$H$111,"&gt;=60",$H$4:$H$111,"&lt;70")</f>
        <v>12</v>
      </c>
    </row>
    <row r="125" spans="1:18">
      <c r="H125" s="4" t="s">
        <v>1047</v>
      </c>
      <c r="I125" s="4" t="s">
        <v>1040</v>
      </c>
      <c r="J125" s="4">
        <f ca="1">COUNTIFS($E$4:$E$111,"M",$H$4:$H$111,"&gt;=70")</f>
        <v>16</v>
      </c>
    </row>
    <row r="126" spans="1:18">
      <c r="H126" s="4" t="s">
        <v>1047</v>
      </c>
      <c r="I126" s="4" t="s">
        <v>1041</v>
      </c>
      <c r="J126" s="4">
        <f ca="1">COUNTIFS($E$4:$E$111,"W",$H$4:$H$111,"&gt;=70")</f>
        <v>5</v>
      </c>
    </row>
    <row r="128" spans="1:18">
      <c r="G128" s="4" t="s">
        <v>1048</v>
      </c>
      <c r="H128" s="4" t="s">
        <v>1043</v>
      </c>
      <c r="I128" s="4" t="s">
        <v>1040</v>
      </c>
      <c r="J128" s="4">
        <f ca="1">COUNTIFS($E$4:$E$111,"M",$H$4:$H$111,"&lt;=39",$V$4:$V$111,"&lt;&gt;")</f>
        <v>0</v>
      </c>
    </row>
    <row r="129" spans="7:10">
      <c r="H129" s="4" t="s">
        <v>1043</v>
      </c>
      <c r="I129" s="4" t="s">
        <v>1041</v>
      </c>
      <c r="J129" s="4">
        <f ca="1">COUNTIFS($E$4:$E$111,"W",$H$4:$H$111,"&lt;=39",$V$4:$V$111,"&lt;&gt;")</f>
        <v>0</v>
      </c>
    </row>
    <row r="130" spans="7:10">
      <c r="H130" s="4" t="s">
        <v>1044</v>
      </c>
      <c r="I130" s="4" t="s">
        <v>1040</v>
      </c>
      <c r="J130" s="4">
        <f ca="1">COUNTIFS($E$4:$E$111,"M",$H$4:$H$111,"&gt;=40",$H$4:$H$111,"&lt;50",$V$4:$V$111,"&lt;&gt;")</f>
        <v>2</v>
      </c>
    </row>
    <row r="131" spans="7:10">
      <c r="H131" s="4" t="s">
        <v>1044</v>
      </c>
      <c r="I131" s="4" t="s">
        <v>1041</v>
      </c>
      <c r="J131" s="4">
        <f ca="1">COUNTIFS($E$4:$E$111,"W",$H$4:$H$111,"&gt;=40",$H$4:$H$111,"&lt;50",$V$4:$V$111,"&lt;&gt;")</f>
        <v>0</v>
      </c>
    </row>
    <row r="132" spans="7:10">
      <c r="H132" s="4" t="s">
        <v>1045</v>
      </c>
      <c r="I132" s="4" t="s">
        <v>1040</v>
      </c>
      <c r="J132" s="4">
        <f ca="1">COUNTIFS($E$4:$E$111,"M",$H$4:$H$111,"&gt;=50",$H$4:$H$111,"&lt;60",$V$4:$V$111,"&lt;&gt;")</f>
        <v>7</v>
      </c>
    </row>
    <row r="133" spans="7:10">
      <c r="H133" s="4" t="s">
        <v>1045</v>
      </c>
      <c r="I133" s="4" t="s">
        <v>1041</v>
      </c>
      <c r="J133" s="4">
        <f ca="1">COUNTIFS($E$4:$E$111,"W",$H$4:$H$111,"&gt;=50",$H$4:$H$111,"&lt;60",$V$4:$V$111,"&lt;&gt;")</f>
        <v>3</v>
      </c>
    </row>
    <row r="134" spans="7:10">
      <c r="H134" s="4" t="s">
        <v>1046</v>
      </c>
      <c r="I134" s="4" t="s">
        <v>1040</v>
      </c>
      <c r="J134" s="4">
        <f ca="1">COUNTIFS($E$4:$E$111,"M",$H$4:$H$111,"&gt;=60",$H$4:$H$111,"&lt;70",$V$4:$V$111,"&lt;&gt;")</f>
        <v>6</v>
      </c>
    </row>
    <row r="135" spans="7:10">
      <c r="H135" s="4" t="s">
        <v>1046</v>
      </c>
      <c r="I135" s="4" t="s">
        <v>1041</v>
      </c>
      <c r="J135" s="4">
        <f ca="1">COUNTIFS($E$4:$E$111,"W",$H$4:$H$111,"&gt;=60",$H$4:$H$111,"&lt;70",$V$4:$V$111,"&lt;&gt;")</f>
        <v>3</v>
      </c>
    </row>
    <row r="136" spans="7:10">
      <c r="H136" s="4" t="s">
        <v>1047</v>
      </c>
      <c r="I136" s="4" t="s">
        <v>1040</v>
      </c>
      <c r="J136" s="4">
        <f ca="1">COUNTIFS($E$4:$E$111,"M",$H$4:$H$111,"&gt;=70",$V$4:$V$111,"&lt;&gt;")</f>
        <v>0</v>
      </c>
    </row>
    <row r="137" spans="7:10">
      <c r="H137" s="4" t="s">
        <v>1047</v>
      </c>
      <c r="I137" s="4" t="s">
        <v>1041</v>
      </c>
      <c r="J137" s="4">
        <f ca="1">COUNTIFS($E$4:$E$111,"W",$H$4:$H$111,"&gt;=70",$V$4:$V$111,"&lt;&gt;")</f>
        <v>0</v>
      </c>
    </row>
    <row r="140" spans="7:10">
      <c r="G140" s="4" t="s">
        <v>1049</v>
      </c>
      <c r="J140" s="4">
        <f>COUNTIFS($W$4:$W$111,"A*")</f>
        <v>45</v>
      </c>
    </row>
    <row r="141" spans="7:10">
      <c r="G141" s="4" t="s">
        <v>1050</v>
      </c>
      <c r="J141" s="4">
        <f>COUNTIFS($W$4:$W$111,"B*")</f>
        <v>39</v>
      </c>
    </row>
    <row r="142" spans="7:10">
      <c r="G142" s="4" t="s">
        <v>1051</v>
      </c>
      <c r="J142" s="4">
        <f>COUNTIFS($W$4:$W$111,"C*")</f>
        <v>15</v>
      </c>
    </row>
    <row r="143" spans="7:10">
      <c r="G143" s="4" t="s">
        <v>1052</v>
      </c>
      <c r="J143" s="4">
        <f>COUNTIFS($W$4:$W$111,"D*")</f>
        <v>1</v>
      </c>
    </row>
    <row r="144" spans="7:10">
      <c r="G144" s="4" t="s">
        <v>1053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workbookViewId="0">
      <selection activeCell="F20" sqref="F20"/>
    </sheetView>
  </sheetViews>
  <sheetFormatPr defaultRowHeight="14.5"/>
  <cols>
    <col min="1" max="1" width="18.7265625" bestFit="1" customWidth="1"/>
    <col min="2" max="2" width="11.81640625" bestFit="1" customWidth="1"/>
    <col min="3" max="3" width="22.1796875" bestFit="1" customWidth="1"/>
    <col min="4" max="4" width="6.453125" bestFit="1" customWidth="1"/>
    <col min="5" max="5" width="8.90625" bestFit="1" customWidth="1"/>
    <col min="6" max="6" width="30.54296875" customWidth="1"/>
    <col min="7" max="7" width="7.1796875" bestFit="1" customWidth="1"/>
    <col min="8" max="9" width="100.54296875" customWidth="1"/>
  </cols>
  <sheetData>
    <row r="1" spans="1:9">
      <c r="A1" s="47" t="s">
        <v>1074</v>
      </c>
      <c r="B1" s="47" t="s">
        <v>1075</v>
      </c>
      <c r="C1" s="47" t="s">
        <v>1076</v>
      </c>
      <c r="D1" s="47" t="s">
        <v>1077</v>
      </c>
      <c r="E1" s="47" t="s">
        <v>1078</v>
      </c>
      <c r="F1" s="47" t="s">
        <v>1079</v>
      </c>
      <c r="G1" s="47" t="s">
        <v>1080</v>
      </c>
      <c r="H1" s="47" t="s">
        <v>1081</v>
      </c>
      <c r="I1" t="s">
        <v>1082</v>
      </c>
    </row>
    <row r="2" spans="1:9">
      <c r="A2" t="s">
        <v>1073</v>
      </c>
      <c r="B2" t="s">
        <v>1072</v>
      </c>
      <c r="C2" t="s">
        <v>1083</v>
      </c>
      <c r="D2" t="s">
        <v>1065</v>
      </c>
      <c r="E2" t="s">
        <v>1066</v>
      </c>
      <c r="F2" t="s">
        <v>1084</v>
      </c>
      <c r="G2">
        <v>3</v>
      </c>
      <c r="H2" t="s">
        <v>1085</v>
      </c>
      <c r="I2" s="48" t="s">
        <v>1068</v>
      </c>
    </row>
    <row r="3" spans="1:9">
      <c r="A3" t="s">
        <v>1073</v>
      </c>
      <c r="B3" t="s">
        <v>1072</v>
      </c>
      <c r="C3" t="s">
        <v>1064</v>
      </c>
      <c r="D3" t="s">
        <v>1065</v>
      </c>
      <c r="E3" t="s">
        <v>1066</v>
      </c>
      <c r="F3" t="s">
        <v>1063</v>
      </c>
      <c r="G3">
        <v>10</v>
      </c>
      <c r="H3" t="s">
        <v>1067</v>
      </c>
      <c r="I3" s="48" t="s">
        <v>1068</v>
      </c>
    </row>
    <row r="4" spans="1:9">
      <c r="A4" t="s">
        <v>1073</v>
      </c>
      <c r="B4" t="s">
        <v>1072</v>
      </c>
      <c r="C4" t="s">
        <v>1064</v>
      </c>
      <c r="D4" t="s">
        <v>1065</v>
      </c>
      <c r="E4" t="s">
        <v>1070</v>
      </c>
      <c r="F4" t="s">
        <v>1069</v>
      </c>
      <c r="G4">
        <v>101</v>
      </c>
      <c r="H4" t="s">
        <v>1071</v>
      </c>
      <c r="I4" s="48" t="s">
        <v>1068</v>
      </c>
    </row>
  </sheetData>
  <sortState xmlns:xlrd2="http://schemas.microsoft.com/office/spreadsheetml/2017/richdata2" ref="A2:I4">
    <sortCondition ref="A2"/>
    <sortCondition ref="C2"/>
    <sortCondition ref="F2"/>
  </sortState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2024-09-01T07:11:11Z</dcterms:modified>
</cp:coreProperties>
</file>