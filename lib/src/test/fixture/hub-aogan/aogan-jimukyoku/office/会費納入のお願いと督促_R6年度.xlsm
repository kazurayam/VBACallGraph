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aogan\github-aogan\aogan-jimukyoku\office\"/>
    </mc:Choice>
  </mc:AlternateContent>
  <xr:revisionPtr revIDLastSave="0" documentId="13_ncr:1_{CF95540D-4663-4264-AEC1-7B34DB42ECE2}" xr6:coauthVersionLast="47" xr6:coauthVersionMax="47" xr10:uidLastSave="{00000000-0000-0000-0000-000000000000}"/>
  <bookViews>
    <workbookView xWindow="-90" yWindow="0" windowWidth="9780" windowHeight="10890" tabRatio="707" firstSheet="2" activeTab="4" xr2:uid="{A937FE6B-BF50-45E1-B13B-AAC466F1AD94}"/>
  </bookViews>
  <sheets>
    <sheet name="README" sheetId="1" r:id="rId1"/>
    <sheet name="メイン" sheetId="3" r:id="rId2"/>
    <sheet name="外部ファイルのパス" sheetId="2" r:id="rId3"/>
    <sheet name="ExportedModules" sheetId="30" r:id="rId4"/>
    <sheet name="work会員名簿" sheetId="90" r:id="rId5"/>
  </sheets>
  <definedNames>
    <definedName name="_xlnm.Print_Area" localSheetId="4">work会員名簿!$B$1:$Y$22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144" i="90" l="1"/>
  <c r="J143" i="90"/>
  <c r="J142" i="90"/>
  <c r="J141" i="90"/>
  <c r="J140" i="90"/>
  <c r="J115" i="90"/>
  <c r="J114" i="90"/>
  <c r="G111" i="90"/>
  <c r="G110" i="90"/>
  <c r="G109" i="90"/>
  <c r="G108" i="90"/>
  <c r="G107" i="90"/>
  <c r="G106" i="90"/>
  <c r="G105" i="90"/>
  <c r="G104" i="90"/>
  <c r="B103" i="90"/>
  <c r="G102" i="90"/>
  <c r="G101" i="90"/>
  <c r="G100" i="90"/>
  <c r="G99" i="90"/>
  <c r="G98" i="90"/>
  <c r="G97" i="90"/>
  <c r="G96" i="90"/>
  <c r="G95" i="90"/>
  <c r="G94" i="90"/>
  <c r="G93" i="90"/>
  <c r="G92" i="90"/>
  <c r="G91" i="90"/>
  <c r="G90" i="90"/>
  <c r="G89" i="90"/>
  <c r="G88" i="90"/>
  <c r="G87" i="90"/>
  <c r="G86" i="90"/>
  <c r="G85" i="90"/>
  <c r="G84" i="90"/>
  <c r="G83" i="90"/>
  <c r="G82" i="90"/>
  <c r="G81" i="90"/>
  <c r="G80" i="90"/>
  <c r="G79" i="90"/>
  <c r="G78" i="90"/>
  <c r="G77" i="90"/>
  <c r="G76" i="90"/>
  <c r="G75" i="90"/>
  <c r="G74" i="90"/>
  <c r="G73" i="90"/>
  <c r="G72" i="90"/>
  <c r="G71" i="90"/>
  <c r="G70" i="90"/>
  <c r="G69" i="90"/>
  <c r="G68" i="90"/>
  <c r="G67" i="90"/>
  <c r="G66" i="90"/>
  <c r="G65" i="90"/>
  <c r="G64" i="90"/>
  <c r="G63" i="90"/>
  <c r="G62" i="90"/>
  <c r="G61" i="90"/>
  <c r="G60" i="90"/>
  <c r="G59" i="90"/>
  <c r="G58" i="90"/>
  <c r="G57" i="90"/>
  <c r="G56" i="90"/>
  <c r="G55" i="90"/>
  <c r="G54" i="90"/>
  <c r="G53" i="90"/>
  <c r="G52" i="90"/>
  <c r="G51" i="90"/>
  <c r="G50" i="90"/>
  <c r="G49" i="90"/>
  <c r="G48" i="90"/>
  <c r="G47" i="90"/>
  <c r="G46" i="90"/>
  <c r="G45" i="90"/>
  <c r="G44" i="90"/>
  <c r="G43" i="90"/>
  <c r="G42" i="90"/>
  <c r="G41" i="90"/>
  <c r="G40" i="90"/>
  <c r="G39" i="90"/>
  <c r="G38" i="90"/>
  <c r="G36" i="90"/>
  <c r="G35" i="90"/>
  <c r="G34" i="90"/>
  <c r="G33" i="90"/>
  <c r="G32" i="90"/>
  <c r="G31" i="90"/>
  <c r="G30" i="90"/>
  <c r="G29" i="90"/>
  <c r="G28" i="90"/>
  <c r="G27" i="90"/>
  <c r="G26" i="90"/>
  <c r="G25" i="90"/>
  <c r="G24" i="90"/>
  <c r="G23" i="90"/>
  <c r="G22" i="90"/>
  <c r="G21" i="90"/>
  <c r="G20" i="90"/>
  <c r="G19" i="90"/>
  <c r="B18" i="90"/>
  <c r="B17" i="90"/>
  <c r="G16" i="90"/>
  <c r="G15" i="90"/>
  <c r="G14" i="90"/>
  <c r="G13" i="90"/>
  <c r="G12" i="90"/>
  <c r="B11" i="90"/>
  <c r="G10" i="90"/>
  <c r="G9" i="90"/>
  <c r="G8" i="90"/>
  <c r="G7" i="90"/>
  <c r="G6" i="90"/>
  <c r="G5" i="90"/>
  <c r="G4" i="90"/>
  <c r="M1" i="90"/>
  <c r="H107" i="90" s="1"/>
  <c r="X6" i="90" l="1"/>
  <c r="H67" i="90"/>
  <c r="X22" i="90"/>
  <c r="H16" i="90"/>
  <c r="X99" i="90"/>
  <c r="X48" i="90"/>
  <c r="H86" i="90"/>
  <c r="X80" i="90"/>
  <c r="H17" i="90"/>
  <c r="X13" i="90"/>
  <c r="X29" i="90"/>
  <c r="H43" i="90"/>
  <c r="X56" i="90"/>
  <c r="H75" i="90"/>
  <c r="H94" i="90"/>
  <c r="X107" i="90"/>
  <c r="H8" i="90"/>
  <c r="H24" i="90"/>
  <c r="H4" i="90"/>
  <c r="X14" i="90"/>
  <c r="H51" i="90"/>
  <c r="X64" i="90"/>
  <c r="H83" i="90"/>
  <c r="H102" i="90"/>
  <c r="H9" i="90"/>
  <c r="H25" i="90"/>
  <c r="X5" i="90"/>
  <c r="X21" i="90"/>
  <c r="H32" i="90"/>
  <c r="X40" i="90"/>
  <c r="H59" i="90"/>
  <c r="X72" i="90"/>
  <c r="X91" i="90"/>
  <c r="H110" i="90"/>
  <c r="X8" i="90"/>
  <c r="H11" i="90"/>
  <c r="X16" i="90"/>
  <c r="H19" i="90"/>
  <c r="X24" i="90"/>
  <c r="H27" i="90"/>
  <c r="X32" i="90"/>
  <c r="H35" i="90"/>
  <c r="H38" i="90"/>
  <c r="X43" i="90"/>
  <c r="H46" i="90"/>
  <c r="X51" i="90"/>
  <c r="H54" i="90"/>
  <c r="X59" i="90"/>
  <c r="H62" i="90"/>
  <c r="X67" i="90"/>
  <c r="H70" i="90"/>
  <c r="X75" i="90"/>
  <c r="H78" i="90"/>
  <c r="X83" i="90"/>
  <c r="X86" i="90"/>
  <c r="H89" i="90"/>
  <c r="X94" i="90"/>
  <c r="H97" i="90"/>
  <c r="X102" i="90"/>
  <c r="H105" i="90"/>
  <c r="X110" i="90"/>
  <c r="H6" i="90"/>
  <c r="X11" i="90"/>
  <c r="H14" i="90"/>
  <c r="X19" i="90"/>
  <c r="H22" i="90"/>
  <c r="X27" i="90"/>
  <c r="H30" i="90"/>
  <c r="X35" i="90"/>
  <c r="X38" i="90"/>
  <c r="H41" i="90"/>
  <c r="X46" i="90"/>
  <c r="H49" i="90"/>
  <c r="X54" i="90"/>
  <c r="H57" i="90"/>
  <c r="X62" i="90"/>
  <c r="H65" i="90"/>
  <c r="X70" i="90"/>
  <c r="H73" i="90"/>
  <c r="X78" i="90"/>
  <c r="H81" i="90"/>
  <c r="X89" i="90"/>
  <c r="H92" i="90"/>
  <c r="X97" i="90"/>
  <c r="H100" i="90"/>
  <c r="X105" i="90"/>
  <c r="H108" i="90"/>
  <c r="X30" i="90"/>
  <c r="H33" i="90"/>
  <c r="X41" i="90"/>
  <c r="H44" i="90"/>
  <c r="X49" i="90"/>
  <c r="H52" i="90"/>
  <c r="X57" i="90"/>
  <c r="H60" i="90"/>
  <c r="X65" i="90"/>
  <c r="H68" i="90"/>
  <c r="X73" i="90"/>
  <c r="H76" i="90"/>
  <c r="X81" i="90"/>
  <c r="H84" i="90"/>
  <c r="H87" i="90"/>
  <c r="X92" i="90"/>
  <c r="H95" i="90"/>
  <c r="X100" i="90"/>
  <c r="H103" i="90"/>
  <c r="X108" i="90"/>
  <c r="H111" i="90"/>
  <c r="X9" i="90"/>
  <c r="H12" i="90"/>
  <c r="X17" i="90"/>
  <c r="H20" i="90"/>
  <c r="X25" i="90"/>
  <c r="H28" i="90"/>
  <c r="X33" i="90"/>
  <c r="H36" i="90"/>
  <c r="H39" i="90"/>
  <c r="X44" i="90"/>
  <c r="H47" i="90"/>
  <c r="X52" i="90"/>
  <c r="H55" i="90"/>
  <c r="X60" i="90"/>
  <c r="H63" i="90"/>
  <c r="X68" i="90"/>
  <c r="H71" i="90"/>
  <c r="X76" i="90"/>
  <c r="H79" i="90"/>
  <c r="X84" i="90"/>
  <c r="X87" i="90"/>
  <c r="H90" i="90"/>
  <c r="X95" i="90"/>
  <c r="H98" i="90"/>
  <c r="X103" i="90"/>
  <c r="H106" i="90"/>
  <c r="X111" i="90"/>
  <c r="X12" i="90"/>
  <c r="H15" i="90"/>
  <c r="X20" i="90"/>
  <c r="H23" i="90"/>
  <c r="X28" i="90"/>
  <c r="H31" i="90"/>
  <c r="X36" i="90"/>
  <c r="X39" i="90"/>
  <c r="H42" i="90"/>
  <c r="X47" i="90"/>
  <c r="H50" i="90"/>
  <c r="X55" i="90"/>
  <c r="H58" i="90"/>
  <c r="X63" i="90"/>
  <c r="H66" i="90"/>
  <c r="X71" i="90"/>
  <c r="H74" i="90"/>
  <c r="X79" i="90"/>
  <c r="H82" i="90"/>
  <c r="X90" i="90"/>
  <c r="H93" i="90"/>
  <c r="X98" i="90"/>
  <c r="H101" i="90"/>
  <c r="X106" i="90"/>
  <c r="H109" i="90"/>
  <c r="X15" i="90"/>
  <c r="H18" i="90"/>
  <c r="X31" i="90"/>
  <c r="H34" i="90"/>
  <c r="H37" i="90"/>
  <c r="X50" i="90"/>
  <c r="H53" i="90"/>
  <c r="X58" i="90"/>
  <c r="H61" i="90"/>
  <c r="X66" i="90"/>
  <c r="H69" i="90"/>
  <c r="X74" i="90"/>
  <c r="H77" i="90"/>
  <c r="X82" i="90"/>
  <c r="H85" i="90"/>
  <c r="H88" i="90"/>
  <c r="X93" i="90"/>
  <c r="H96" i="90"/>
  <c r="X101" i="90"/>
  <c r="H104" i="90"/>
  <c r="X109" i="90"/>
  <c r="X4" i="90"/>
  <c r="H7" i="90"/>
  <c r="X7" i="90"/>
  <c r="H10" i="90"/>
  <c r="X23" i="90"/>
  <c r="H26" i="90"/>
  <c r="X42" i="90"/>
  <c r="H45" i="90"/>
  <c r="H5" i="90"/>
  <c r="X10" i="90"/>
  <c r="H13" i="90"/>
  <c r="X18" i="90"/>
  <c r="H21" i="90"/>
  <c r="X26" i="90"/>
  <c r="H29" i="90"/>
  <c r="X34" i="90"/>
  <c r="X37" i="90"/>
  <c r="H40" i="90"/>
  <c r="X45" i="90"/>
  <c r="H48" i="90"/>
  <c r="X53" i="90"/>
  <c r="H56" i="90"/>
  <c r="X61" i="90"/>
  <c r="H64" i="90"/>
  <c r="X69" i="90"/>
  <c r="H72" i="90"/>
  <c r="X77" i="90"/>
  <c r="H80" i="90"/>
  <c r="X88" i="90"/>
  <c r="H91" i="90"/>
  <c r="X96" i="90"/>
  <c r="H99" i="90"/>
  <c r="X104" i="90"/>
  <c r="J129" i="90" l="1"/>
  <c r="J120" i="90"/>
  <c r="J124" i="90"/>
  <c r="J134" i="90"/>
  <c r="J125" i="90"/>
  <c r="J117" i="90"/>
  <c r="J132" i="90"/>
  <c r="J123" i="90"/>
  <c r="J130" i="90"/>
  <c r="J121" i="90"/>
  <c r="J136" i="90"/>
  <c r="J128" i="90"/>
  <c r="J119" i="90"/>
  <c r="J135" i="90"/>
  <c r="J126" i="90"/>
  <c r="J118" i="90"/>
  <c r="J131" i="90"/>
  <c r="J122" i="90"/>
  <c r="J137" i="90"/>
  <c r="J133" i="90"/>
</calcChain>
</file>

<file path=xl/sharedStrings.xml><?xml version="1.0" encoding="utf-8"?>
<sst xmlns="http://schemas.openxmlformats.org/spreadsheetml/2006/main" count="1566" uniqueCount="1122">
  <si>
    <t>このXLSMファイルは何か。</t>
  </si>
  <si>
    <t>わたくしの仕事の中心にExcelファイルが二つある。</t>
  </si>
  <si>
    <t>会員は年会費を納めることを求められる。</t>
  </si>
  <si>
    <t>大多数の会員は春から夏のあいだに収めてくれる。</t>
  </si>
  <si>
    <t>もちろん、既納者に督促しちゃうような失礼をはたらかぬよう注意しなければならない。</t>
  </si>
  <si>
    <t>そこで会員名簿Excelファイルを活用するためにVisual Basic for Applicationを開発することにした。</t>
  </si>
  <si>
    <t>このXLSMファイルでライブラリを開発する。</t>
  </si>
  <si>
    <t>浦山和昭</t>
  </si>
  <si>
    <t>２０２２年９月</t>
  </si>
  <si>
    <t>項目</t>
  </si>
  <si>
    <t>データ</t>
  </si>
  <si>
    <t>説明</t>
  </si>
  <si>
    <t>青森県眼科医会の会員名簿Excelファイルのパス</t>
  </si>
  <si>
    <t>青森県眼科医会の現金出納帳Excelファイルのパス</t>
  </si>
  <si>
    <t>わたくし浦山和昭はA県G科医会事務局でバイトをしている。経理その他の事務を担当している。</t>
    <rPh sb="4" eb="8">
      <t>ウラヤマカズアキ</t>
    </rPh>
    <phoneticPr fontId="4"/>
  </si>
  <si>
    <t>列1</t>
  </si>
  <si>
    <t>列2</t>
  </si>
  <si>
    <t>生年月日3</t>
  </si>
  <si>
    <t>W</t>
  </si>
  <si>
    <t>0178-31-2222</t>
  </si>
  <si>
    <t>ｱﾗｲ ﾕｳｺ</t>
  </si>
  <si>
    <t>あらいこどもクリニック/眼科クリニック</t>
  </si>
  <si>
    <t>036-8093</t>
  </si>
  <si>
    <t>弘前市城東中央４－２－８</t>
  </si>
  <si>
    <t xml:space="preserve">0172-27-2233 </t>
  </si>
  <si>
    <t>ｲﾁﾉﾍ ｻﾄｼ</t>
  </si>
  <si>
    <t>036-8186</t>
  </si>
  <si>
    <t>0172-32-3076</t>
  </si>
  <si>
    <t>きくち眼科</t>
  </si>
  <si>
    <t>031-0032</t>
  </si>
  <si>
    <t>0178-73-6366</t>
  </si>
  <si>
    <t>ｲﾄｳ ｼﾝｲﾁ</t>
  </si>
  <si>
    <t>M</t>
  </si>
  <si>
    <t>ｲﾄｳ ﾀﾀﾞｼ</t>
  </si>
  <si>
    <t>0172-36-6105</t>
  </si>
  <si>
    <t>弘前市南大町２－６－３</t>
  </si>
  <si>
    <t>ｲﾄｳ ﾁﾊﾙ</t>
  </si>
  <si>
    <t>黒石市国保黒石病院眼科</t>
  </si>
  <si>
    <t>黒石市北美町1-70</t>
  </si>
  <si>
    <t>0172-52-2121</t>
  </si>
  <si>
    <t>036-8261</t>
  </si>
  <si>
    <t xml:space="preserve">036-8182 </t>
  </si>
  <si>
    <t>弘前市土手町１１７－１</t>
  </si>
  <si>
    <t>0172-38-3050</t>
  </si>
  <si>
    <t>036-8171</t>
  </si>
  <si>
    <t>弘前市取上１－８－１６</t>
  </si>
  <si>
    <t>ｳﾘﾀ ﾁｻｺ</t>
  </si>
  <si>
    <t>0173-22-3232</t>
  </si>
  <si>
    <t>038-3503</t>
  </si>
  <si>
    <t xml:space="preserve">北津軽郡鶴田町生松１２９－２ </t>
  </si>
  <si>
    <t>ｵｵｼﾏ ﾏﾘ</t>
  </si>
  <si>
    <t>039-1166</t>
  </si>
  <si>
    <t>八戸市根城４－２０－１</t>
  </si>
  <si>
    <t>0178-72-1654</t>
  </si>
  <si>
    <t xml:space="preserve"> 039-1166</t>
  </si>
  <si>
    <t>八戸市根城６－１０－１２</t>
  </si>
  <si>
    <t>0178-46-4211</t>
  </si>
  <si>
    <t>ｵｵﾀ ﾀｸﾔ</t>
  </si>
  <si>
    <t>おおた眼科</t>
  </si>
  <si>
    <t>036-8003</t>
  </si>
  <si>
    <t>弘前市駅前町１３－１</t>
  </si>
  <si>
    <t>0172-38-2333</t>
  </si>
  <si>
    <t>0172-31-2837</t>
  </si>
  <si>
    <t>039-0105</t>
  </si>
  <si>
    <t>0179-20-6161</t>
  </si>
  <si>
    <t xml:space="preserve"> 039-0105</t>
  </si>
  <si>
    <t xml:space="preserve"> 0179-20-6007</t>
  </si>
  <si>
    <t>ｶｹﾞﾔﾏ ﾐｷ</t>
  </si>
  <si>
    <t>ナンブクリニック</t>
  </si>
  <si>
    <t>三戸郡南部町沖田面字沖中２０－２</t>
  </si>
  <si>
    <t>0179-20-6007</t>
  </si>
  <si>
    <t>030-8553</t>
  </si>
  <si>
    <t xml:space="preserve">青森市東造道２－１－１ </t>
  </si>
  <si>
    <t>030-0913</t>
  </si>
  <si>
    <t>ｶﾀｵｶ ﾌﾐｺ</t>
  </si>
  <si>
    <t>ｶﾀﾔﾏ ｷﾐﾖ</t>
  </si>
  <si>
    <t>036-8354</t>
  </si>
  <si>
    <t>弘前市上鞘師町１１－１　ＭＡＣ弘前コート８０２</t>
  </si>
  <si>
    <t>090-7257-0613</t>
  </si>
  <si>
    <t>ｶﾄｳ ﾁﾋﾛ</t>
  </si>
  <si>
    <t>加藤眼科クリニック</t>
  </si>
  <si>
    <t>036-8054</t>
  </si>
  <si>
    <t>弘前市田町５－６－７</t>
  </si>
  <si>
    <t>0172-31-3711</t>
  </si>
  <si>
    <t>036-8086</t>
  </si>
  <si>
    <t>弘前市田園１－３－９</t>
  </si>
  <si>
    <t>0172-28-0839</t>
  </si>
  <si>
    <t>ｶﾐﾔﾏ ﾀﾂﾐ</t>
  </si>
  <si>
    <t>0178-70-1510</t>
  </si>
  <si>
    <t>ｷｸﾁ ﾔｽﾋﾛ</t>
  </si>
  <si>
    <t>031-0031</t>
  </si>
  <si>
    <t>八戸市大字番町３－５　八戸シティマンション６０５</t>
  </si>
  <si>
    <t>0178-24-1549</t>
  </si>
  <si>
    <t>ｷﾄﾞ ｱｲｺ</t>
  </si>
  <si>
    <t>030-0861</t>
  </si>
  <si>
    <t>017-722-6723</t>
  </si>
  <si>
    <t>ｷﾑﾗ ｻﾄﾐ</t>
  </si>
  <si>
    <t>青森県立中央病院眼科</t>
  </si>
  <si>
    <t>青森市東造道２－１－１</t>
  </si>
  <si>
    <t>017-726-8111</t>
  </si>
  <si>
    <t>036-8004</t>
  </si>
  <si>
    <t>0172-34-9034</t>
  </si>
  <si>
    <t>ｷﾑﾗ ｻﾄﾙ</t>
  </si>
  <si>
    <t>0178-72-5111</t>
  </si>
  <si>
    <t>ｷﾑﾗ ﾓﾓｺ</t>
  </si>
  <si>
    <t>青森労災病院眼科</t>
  </si>
  <si>
    <t>031-0822</t>
  </si>
  <si>
    <t>八戸市白銀町南ヶ丘１</t>
  </si>
  <si>
    <t>0178-33-1551</t>
  </si>
  <si>
    <t xml:space="preserve">031-0000 </t>
  </si>
  <si>
    <t>八戸市本徒土町１０－２　阿部様方</t>
  </si>
  <si>
    <t>ｸﾄﾞｳ ｱｻｶ</t>
  </si>
  <si>
    <t>0172-39-5095</t>
  </si>
  <si>
    <t>036-8274</t>
  </si>
  <si>
    <t>弘前市南城西２－１０－１－２０１</t>
  </si>
  <si>
    <t>090-7070-3482</t>
  </si>
  <si>
    <t>0186-45-1477</t>
  </si>
  <si>
    <t>036-8182</t>
  </si>
  <si>
    <t>弘前市土手町48-1 ﾎﾟﾚｽﾀｰｾﾝﾄﾗﾙｼﾃｨ弘前 1208</t>
  </si>
  <si>
    <t>090-4611-3298</t>
  </si>
  <si>
    <t>ｸﾄﾞｳ ﾀｶｼ</t>
  </si>
  <si>
    <t>弘前市在府町５</t>
  </si>
  <si>
    <t>090-2796-6169</t>
  </si>
  <si>
    <t>ｸﾄﾞｳ ﾀｶﾐﾁ</t>
  </si>
  <si>
    <t>036-8056</t>
  </si>
  <si>
    <t>弘前市禰宜町５－１</t>
  </si>
  <si>
    <t>0172-34-4254</t>
  </si>
  <si>
    <t>ｸﾎﾞ ﾏｻﾌﾞﾐ</t>
  </si>
  <si>
    <t>吹上眼科</t>
  </si>
  <si>
    <t>031-0003</t>
  </si>
  <si>
    <t>八戸市吹上２－１０－５</t>
  </si>
  <si>
    <t>0178-72-3372</t>
  </si>
  <si>
    <t>ｸﾏｶﾞｲ ｼｭﾝｲﾁ</t>
  </si>
  <si>
    <t>熊谷眼科医院</t>
  </si>
  <si>
    <t>031-0802</t>
  </si>
  <si>
    <t>八戸市小中野４－１－５３</t>
  </si>
  <si>
    <t>0178-72-1111</t>
  </si>
  <si>
    <t>031-0804</t>
  </si>
  <si>
    <t xml:space="preserve">八戸市青葉３－２３－２０ </t>
  </si>
  <si>
    <t>0178-47-9212</t>
  </si>
  <si>
    <t>ｸﾘﾊﾗ ﾑﾂﾐ</t>
  </si>
  <si>
    <t>0178-28-5000</t>
  </si>
  <si>
    <t>031-0823</t>
  </si>
  <si>
    <t>八戸市湊高台１－１７－１４</t>
  </si>
  <si>
    <t>ｸﾛﾀｷ ｼﾞｭﾝｼﾞ</t>
  </si>
  <si>
    <t>八戸市内丸３－５－１６</t>
  </si>
  <si>
    <t>0178-22-4429</t>
  </si>
  <si>
    <t>小堀眼科</t>
  </si>
  <si>
    <t>青森市中佃２－７－３４</t>
  </si>
  <si>
    <t>017-765-1414</t>
  </si>
  <si>
    <t>030-0963</t>
  </si>
  <si>
    <t>017-744-0671</t>
  </si>
  <si>
    <t>036-8562</t>
  </si>
  <si>
    <t>ｺﾞﾝ ｱｷﾑﾈ</t>
  </si>
  <si>
    <t>青森市千刈２－１－３５</t>
  </si>
  <si>
    <t>017-766-8877</t>
  </si>
  <si>
    <t>030-0961</t>
  </si>
  <si>
    <t>017-718-1385</t>
  </si>
  <si>
    <t>ｻｲﾄｳ ｹｲｺ</t>
  </si>
  <si>
    <t>八戸市立市民病院眼科</t>
  </si>
  <si>
    <t>ｻｶｼﾀ ﾏｻﾋﾛ</t>
  </si>
  <si>
    <t>031-0001</t>
  </si>
  <si>
    <t>八戸市類家５－２－１８</t>
  </si>
  <si>
    <t>0178-22-2411</t>
  </si>
  <si>
    <t>036-8103</t>
  </si>
  <si>
    <t>弘前市川先２－８－２</t>
  </si>
  <si>
    <t>017-227-4871</t>
  </si>
  <si>
    <t>ｻﾄｳ ﾓﾄﾔ</t>
  </si>
  <si>
    <t>さとう眼科クリニック</t>
  </si>
  <si>
    <t>035-0066</t>
  </si>
  <si>
    <t>むつ市緑ヶ丘３５－１</t>
  </si>
  <si>
    <t>0175-23-9165</t>
  </si>
  <si>
    <t>035-0041</t>
  </si>
  <si>
    <t>むつ市金曲２－３－６</t>
  </si>
  <si>
    <t xml:space="preserve"> 0175-23-7387</t>
  </si>
  <si>
    <t>ｻﾝﾉﾍ ﾁｶｺ</t>
  </si>
  <si>
    <t>三戸眼科</t>
  </si>
  <si>
    <t>038-0022</t>
  </si>
  <si>
    <t>青森市浪館志田２４</t>
  </si>
  <si>
    <t>017-781-2511</t>
  </si>
  <si>
    <t xml:space="preserve"> 017-781-2517</t>
  </si>
  <si>
    <t>031-8545</t>
  </si>
  <si>
    <t>0172-36-6205</t>
  </si>
  <si>
    <t>ｽｽﾞｷ ﾕｷﾋｺ</t>
  </si>
  <si>
    <t>0172-33-5111</t>
  </si>
  <si>
    <t>0172-33-3850</t>
  </si>
  <si>
    <t>十和田市西二十三番町３５－３３</t>
  </si>
  <si>
    <t>0176-22-0122</t>
  </si>
  <si>
    <t>高橋眼科</t>
  </si>
  <si>
    <t>030-0812</t>
  </si>
  <si>
    <t>017-734-4866</t>
  </si>
  <si>
    <t>030-0966</t>
  </si>
  <si>
    <t>青森市花園２－２０－７</t>
  </si>
  <si>
    <t>017-741-4866</t>
  </si>
  <si>
    <t>ﾀｶﾊｼ ﾀﾞｲｽｹ</t>
  </si>
  <si>
    <t>たかはし眼科</t>
  </si>
  <si>
    <t>036-8361</t>
  </si>
  <si>
    <t>弘前市大字紺屋町２１－４</t>
  </si>
  <si>
    <t>0172-31-3456</t>
  </si>
  <si>
    <t>036-8284</t>
  </si>
  <si>
    <t>弘前市大字早稲田３－１２－８</t>
  </si>
  <si>
    <t>0172-28-8284</t>
  </si>
  <si>
    <t>医）浅水眼科馬場町眼科クリニック</t>
  </si>
  <si>
    <t>031-0074</t>
  </si>
  <si>
    <t>八戸市馬場町２</t>
  </si>
  <si>
    <t>0178-22-9822</t>
  </si>
  <si>
    <t>ﾀｶﾊｼ ﾐﾕｷ</t>
  </si>
  <si>
    <t>ＥＳＴクリニック</t>
  </si>
  <si>
    <t>036-8082</t>
  </si>
  <si>
    <t>弘前市大字福村字新館添２０－１</t>
  </si>
  <si>
    <t>0172-29-5500</t>
  </si>
  <si>
    <t>036-8228</t>
  </si>
  <si>
    <t>弘前市樹木２－５－１　トレスメーラＢ２０２</t>
  </si>
  <si>
    <t>090-1068-8218</t>
  </si>
  <si>
    <t>ﾀｹｳﾁ ｷﾐｵ</t>
  </si>
  <si>
    <t>ﾀﾑﾗ ﾏｻﾄ</t>
  </si>
  <si>
    <t>036-0301</t>
  </si>
  <si>
    <t>黒石市一番町１８３</t>
  </si>
  <si>
    <t>ﾂｼﾏ ｹｲｺ</t>
  </si>
  <si>
    <t>青森市堤町２－１２－９</t>
  </si>
  <si>
    <t>017-734-3637</t>
  </si>
  <si>
    <t>ﾂﾉﾀﾞ ｶﾝﾅ</t>
  </si>
  <si>
    <t>036-8266</t>
  </si>
  <si>
    <t>弘前市自由ヶ丘１－６－１１</t>
  </si>
  <si>
    <t>0172-89-2760</t>
  </si>
  <si>
    <t>ﾅｶﾉ ﾐﾅ</t>
  </si>
  <si>
    <t>中野眼科</t>
  </si>
  <si>
    <t>031-0816</t>
  </si>
  <si>
    <t>八戸市新井田西３－１９－２</t>
  </si>
  <si>
    <t>0178-30-1515</t>
  </si>
  <si>
    <t>0178-25-8820</t>
  </si>
  <si>
    <t>ﾅｶﾑﾗ ﾋﾃﾞｵ</t>
  </si>
  <si>
    <t>ﾅｶﾑﾗ ﾋﾃﾞﾖ</t>
  </si>
  <si>
    <t>中村眼科クリニック</t>
  </si>
  <si>
    <t>035-0033</t>
  </si>
  <si>
    <t>0175-22-2512</t>
  </si>
  <si>
    <t>ﾅﾘﾀ ｷﾖﾊﾙ</t>
  </si>
  <si>
    <t>弘前市大字森町９－１</t>
  </si>
  <si>
    <t>036-8231</t>
  </si>
  <si>
    <t>弘前市大字稔町２３－２７</t>
  </si>
  <si>
    <t>0172-34-6188</t>
  </si>
  <si>
    <t>ﾇﾏﾀ ﾋﾛｺ</t>
  </si>
  <si>
    <t>017-743-0421</t>
  </si>
  <si>
    <t>ﾉﾀﾞ ﾔｽｺ</t>
  </si>
  <si>
    <t>0172-37-0737</t>
  </si>
  <si>
    <t>ﾊｼ ﾋﾃﾞｱﾂ</t>
  </si>
  <si>
    <t>はし眼科</t>
  </si>
  <si>
    <t>034-0032</t>
  </si>
  <si>
    <t>0176-25-1184</t>
  </si>
  <si>
    <t>十和田市東四番町９－７</t>
  </si>
  <si>
    <t>0176-25-2784</t>
  </si>
  <si>
    <t>ﾊﾗ ｼﾝﾔ</t>
  </si>
  <si>
    <t>ﾊﾗﾀﾞ ｻﾁｺ</t>
  </si>
  <si>
    <t>三戸郡南部町沖田面字沖中３３－３</t>
  </si>
  <si>
    <t>0179-34-2420</t>
  </si>
  <si>
    <t>ﾌｸｼ ｶｽﾞｵ</t>
  </si>
  <si>
    <t>030-0854</t>
  </si>
  <si>
    <t>青森市千富町２－１－１３</t>
  </si>
  <si>
    <t>017-766-0548</t>
  </si>
  <si>
    <t>ﾌｸﾀﾞ ｱﾂｼ</t>
  </si>
  <si>
    <t>039-2371</t>
  </si>
  <si>
    <t>0176-53-4158</t>
  </si>
  <si>
    <t xml:space="preserve"> 033-0001</t>
  </si>
  <si>
    <t>ﾎｿｶﾜ ﾀｶﾌﾐ</t>
  </si>
  <si>
    <t>十和田市稲生町１５－３６</t>
  </si>
  <si>
    <t>0176-23-4488</t>
  </si>
  <si>
    <t>0176-25-3424</t>
  </si>
  <si>
    <t>ﾏｶﾅｲ ﾉﾌﾞﾖｼ</t>
  </si>
  <si>
    <t>国立病院機構弘前病院眼科</t>
  </si>
  <si>
    <t>036-8545</t>
  </si>
  <si>
    <t>弘前市富野町１</t>
  </si>
  <si>
    <t>0172-32-4311</t>
  </si>
  <si>
    <t>0172-33-9655</t>
  </si>
  <si>
    <t>ﾏﾂﾊｼ ﾋﾃﾞｱｷ</t>
  </si>
  <si>
    <t>松橋眼科クリニック</t>
  </si>
  <si>
    <t>031-0073</t>
  </si>
  <si>
    <t>八戸市売市２－１２－３２</t>
  </si>
  <si>
    <t>0178-73-3315</t>
  </si>
  <si>
    <t>八戸市売市２－１２－３４</t>
  </si>
  <si>
    <t>0178-22-6335</t>
  </si>
  <si>
    <t>ﾏﾂﾓﾄ ﾐﾂｵ</t>
  </si>
  <si>
    <t>松本眼科</t>
  </si>
  <si>
    <t>036-8153</t>
  </si>
  <si>
    <t>弘前市三岳町２－３</t>
  </si>
  <si>
    <t>0172-31-3211</t>
  </si>
  <si>
    <t>036-8227</t>
  </si>
  <si>
    <t>弘前市桔梗野５－７－１</t>
  </si>
  <si>
    <t>0172-36-6130</t>
  </si>
  <si>
    <t>ﾐｶﾐ ｶﾂﾖ</t>
  </si>
  <si>
    <t>037-0062</t>
  </si>
  <si>
    <t>五所川原市旭町６５</t>
  </si>
  <si>
    <t>0173-33-0010</t>
  </si>
  <si>
    <t>0173-33-2666</t>
  </si>
  <si>
    <t>ﾐｶﾐ ｹｲｲﾁ</t>
  </si>
  <si>
    <t>三上眼科医院</t>
  </si>
  <si>
    <t>青森市新町２－６－２７</t>
  </si>
  <si>
    <t>017-722-6501</t>
  </si>
  <si>
    <t>030-0801</t>
  </si>
  <si>
    <t>017-722-6445</t>
  </si>
  <si>
    <t>ﾐｶﾐ ﾀﾀﾞｼ</t>
  </si>
  <si>
    <t>五所川原市旭町５９</t>
  </si>
  <si>
    <t>0173-35-2577</t>
  </si>
  <si>
    <t>036-8026</t>
  </si>
  <si>
    <t>弘前市南横町４５－２　サンデュエル弘前４０１</t>
  </si>
  <si>
    <t>0172-31-1355</t>
  </si>
  <si>
    <t>ﾐｽﾞﾀﾆ ﾅﾂｺ</t>
  </si>
  <si>
    <t>みずたに眼科</t>
  </si>
  <si>
    <t>030-0847</t>
  </si>
  <si>
    <t>017-752-0226</t>
  </si>
  <si>
    <t>030-0846</t>
  </si>
  <si>
    <t>青森市青葉１－２－２３</t>
  </si>
  <si>
    <t>017-739-1662</t>
  </si>
  <si>
    <t>ﾐｽﾞﾀﾆ ﾋﾃﾞﾕｷ</t>
  </si>
  <si>
    <t>青森市東大野１－４－１</t>
  </si>
  <si>
    <t>ﾐﾔｶﾞﾜ ﾔｽﾋﾛ</t>
  </si>
  <si>
    <t>0172-26-7399</t>
  </si>
  <si>
    <t>ﾑｶｲﾀﾞ ﾔｽｺ</t>
  </si>
  <si>
    <t>はるみ眼科・循環器内科クリニック</t>
  </si>
  <si>
    <t>039-1102</t>
  </si>
  <si>
    <t>八戸市一番町２－３－６</t>
  </si>
  <si>
    <t>0178-70-1863</t>
  </si>
  <si>
    <t>八戸市根城３－５－４　グリーンパレスＢ－１０２</t>
  </si>
  <si>
    <t>0178-22-6170</t>
  </si>
  <si>
    <t>ﾒﾄｷ ﾄﾓﾐ</t>
  </si>
  <si>
    <t>036-8364</t>
  </si>
  <si>
    <t>弘前市新町６１</t>
  </si>
  <si>
    <t>ﾔﾏｶﾞﾐ ｷﾖｼ</t>
  </si>
  <si>
    <t>山上きよし眼科</t>
  </si>
  <si>
    <t>030-0813</t>
  </si>
  <si>
    <t>017-721-1160</t>
  </si>
  <si>
    <t>017-774-5781</t>
  </si>
  <si>
    <t>ﾔﾏｶﾞﾐ ﾐﾅｺ</t>
  </si>
  <si>
    <t>やまがみ眼科</t>
  </si>
  <si>
    <t>017-775-9220</t>
  </si>
  <si>
    <t xml:space="preserve"> 030-0813</t>
  </si>
  <si>
    <t>ﾔﾏｻﾞｷ ﾋﾄｼ</t>
  </si>
  <si>
    <t>039-1169</t>
  </si>
  <si>
    <t>八戸市日計１－２－４４</t>
  </si>
  <si>
    <t>0178-20-3308</t>
  </si>
  <si>
    <t>ﾖｺｲ ﾕﾐｺ</t>
  </si>
  <si>
    <t>ﾖｼﾀﾞ ｺｳｲﾁ</t>
  </si>
  <si>
    <t>代官町クリニック吉田眼科</t>
  </si>
  <si>
    <t>036-8001</t>
  </si>
  <si>
    <t>弘前市大字代官町１０８</t>
  </si>
  <si>
    <t>0172-38-4141</t>
  </si>
  <si>
    <t>036-8023</t>
  </si>
  <si>
    <t>0172-35-2848</t>
  </si>
  <si>
    <t>ひとつは一つは「会員名簿」、もうひとつは「現金出納帳」だ。</t>
    <rPh sb="21" eb="26">
      <t>ゲンキンスイトウチョウ</t>
    </rPh>
    <phoneticPr fontId="4"/>
  </si>
  <si>
    <t>だがお医者さんの皆さんは多忙だからついうっかり会費を納めるのを忘れてしまう人もいる。</t>
    <rPh sb="3" eb="5">
      <t>イシャ</t>
    </rPh>
    <rPh sb="31" eb="32">
      <t>ワス</t>
    </rPh>
    <phoneticPr fontId="4"/>
  </si>
  <si>
    <t>事務局は会員名簿と現金出納帳を照らし合わせ未納者を特定し、必要ならば督促したい。</t>
    <rPh sb="2" eb="3">
      <t>キョク</t>
    </rPh>
    <rPh sb="29" eb="31">
      <t>ヒツヨウ</t>
    </rPh>
    <phoneticPr fontId="4"/>
  </si>
  <si>
    <t>Public</t>
  </si>
  <si>
    <t>Sub</t>
  </si>
  <si>
    <t/>
  </si>
  <si>
    <t>Private</t>
  </si>
  <si>
    <t>Function</t>
  </si>
  <si>
    <t>OpenCashbook</t>
  </si>
  <si>
    <t>Private Function OpenCashbook() As Cashbook</t>
  </si>
  <si>
    <t>FindPaymentBy</t>
  </si>
  <si>
    <t>Private Function FindPaymentBy(ByVal cs As CashSelector, ByVal nameKana As String)</t>
  </si>
  <si>
    <t>PrintFinding</t>
  </si>
  <si>
    <t>Private Sub PrintFinding(ByVal i As Long, ByVal nameKana As String, ByVal entitlement As String, ByVal status As String)</t>
  </si>
  <si>
    <t>RecordFindingIntoMemberTable</t>
  </si>
  <si>
    <t>Private Sub RecordFindingIntoMemberTable(ByVal memberTable As ListObject, ByVal i As Long, ByVal status As String)</t>
  </si>
  <si>
    <t>Standard</t>
  </si>
  <si>
    <t>医籍経過年数</t>
  </si>
  <si>
    <t>0178-31-2230</t>
  </si>
  <si>
    <t>017-726-8325</t>
  </si>
  <si>
    <t>0172-33-3816</t>
  </si>
  <si>
    <r>
      <t xml:space="preserve"> </t>
    </r>
    <r>
      <rPr>
        <u/>
        <sz val="11"/>
        <color theme="10"/>
        <rFont val="游ゴシック"/>
        <family val="3"/>
        <charset val="128"/>
        <scheme val="minor"/>
      </rPr>
      <t>chihirok@vm01.vaio.ne.jp</t>
    </r>
  </si>
  <si>
    <t>B弘大</t>
  </si>
  <si>
    <t>0172-31-3455</t>
  </si>
  <si>
    <t>0178-22-1043</t>
  </si>
  <si>
    <r>
      <t xml:space="preserve"> </t>
    </r>
    <r>
      <rPr>
        <u/>
        <sz val="11"/>
        <color theme="10"/>
        <rFont val="游ゴシック"/>
        <family val="3"/>
        <charset val="128"/>
        <scheme val="minor"/>
      </rPr>
      <t>yasumiya026@yahoo.co.jp</t>
    </r>
  </si>
  <si>
    <t>metoki-eyeclinic@kdp.biglobe.ne.jp</t>
  </si>
  <si>
    <t>会費納入状況チェック</t>
  </si>
  <si>
    <t>Project</t>
  </si>
  <si>
    <t>ModuleType</t>
  </si>
  <si>
    <t>Module</t>
  </si>
  <si>
    <t>Scope</t>
  </si>
  <si>
    <t>ProcKind</t>
  </si>
  <si>
    <t>Procedure</t>
  </si>
  <si>
    <t>LineNo</t>
  </si>
  <si>
    <t>Source</t>
  </si>
  <si>
    <t>Comment</t>
  </si>
  <si>
    <t>Xport</t>
  </si>
  <si>
    <t>ExportThisWorkbook</t>
  </si>
  <si>
    <t>Public Sub ExportThisWorkbook()</t>
  </si>
  <si>
    <t>'現金出納帳ワークシートに外部からデータをロードしてCashbokオブジェクトを返す</t>
  </si>
  <si>
    <t>..\data\青森県眼科医会名簿_令和6年度.xlsx</t>
  </si>
  <si>
    <t>..\data\現金出納帳_青森県眼科医会_令和6年度.xlsx</t>
  </si>
  <si>
    <t>Nn9s4B</t>
  </si>
  <si>
    <t>uP7A4Q</t>
  </si>
  <si>
    <t>eE5W6N</t>
  </si>
  <si>
    <t>b6ScxW</t>
  </si>
  <si>
    <t>vT4LXE</t>
  </si>
  <si>
    <t>Au6irk</t>
  </si>
  <si>
    <t>t6QyKm</t>
  </si>
  <si>
    <t>cH8q6d</t>
  </si>
  <si>
    <t>会費納入状況</t>
  </si>
  <si>
    <t>時点</t>
    <rPh sb="0" eb="2">
      <t>ジテン</t>
    </rPh>
    <phoneticPr fontId="4"/>
  </si>
  <si>
    <t>氏名</t>
    <phoneticPr fontId="4"/>
  </si>
  <si>
    <t>氏名カナ</t>
    <phoneticPr fontId="4"/>
  </si>
  <si>
    <t>性別</t>
    <phoneticPr fontId="4"/>
  </si>
  <si>
    <t>生年月日</t>
    <phoneticPr fontId="4"/>
  </si>
  <si>
    <t>年齢</t>
    <rPh sb="0" eb="2">
      <t>ネンレイ</t>
    </rPh>
    <phoneticPr fontId="4"/>
  </si>
  <si>
    <t>医籍
登録番号</t>
    <rPh sb="1" eb="2">
      <t>セキ</t>
    </rPh>
    <rPh sb="3" eb="5">
      <t>トウロク</t>
    </rPh>
    <rPh sb="5" eb="7">
      <t>バンゴウ</t>
    </rPh>
    <phoneticPr fontId="4"/>
  </si>
  <si>
    <t>医籍
登録日</t>
    <rPh sb="1" eb="2">
      <t>セキ</t>
    </rPh>
    <phoneticPr fontId="4"/>
  </si>
  <si>
    <t>日眼医
登録日</t>
    <rPh sb="0" eb="3">
      <t>ニチガンイ</t>
    </rPh>
    <rPh sb="4" eb="6">
      <t>トウロク</t>
    </rPh>
    <rPh sb="6" eb="7">
      <t>ヒ</t>
    </rPh>
    <phoneticPr fontId="4"/>
  </si>
  <si>
    <t>専門医
登録No</t>
    <rPh sb="0" eb="3">
      <t>センモンイ</t>
    </rPh>
    <rPh sb="4" eb="6">
      <t>トウロク</t>
    </rPh>
    <phoneticPr fontId="4"/>
  </si>
  <si>
    <t>勤務先名</t>
    <phoneticPr fontId="4"/>
  </si>
  <si>
    <t>勤務先〒</t>
    <rPh sb="2" eb="3">
      <t>サキ</t>
    </rPh>
    <phoneticPr fontId="4"/>
  </si>
  <si>
    <t>勤務先住所</t>
    <phoneticPr fontId="4"/>
  </si>
  <si>
    <t>勤務先
電話番号</t>
    <rPh sb="0" eb="3">
      <t>キンムサキ</t>
    </rPh>
    <rPh sb="4" eb="8">
      <t>デンワバンゴウ</t>
    </rPh>
    <phoneticPr fontId="4"/>
  </si>
  <si>
    <t>勤務先FAX</t>
    <rPh sb="0" eb="3">
      <t>キンムサキ</t>
    </rPh>
    <phoneticPr fontId="4"/>
  </si>
  <si>
    <t>自宅〒</t>
    <phoneticPr fontId="4"/>
  </si>
  <si>
    <t>自宅住所</t>
    <phoneticPr fontId="4"/>
  </si>
  <si>
    <t>自宅
電話番号</t>
    <rPh sb="3" eb="7">
      <t>デンワバンゴウ</t>
    </rPh>
    <phoneticPr fontId="4"/>
  </si>
  <si>
    <t>携帯番号</t>
    <rPh sb="0" eb="2">
      <t>ケイタイ</t>
    </rPh>
    <rPh sb="2" eb="4">
      <t>バンゴウ</t>
    </rPh>
    <phoneticPr fontId="4"/>
  </si>
  <si>
    <t>email</t>
    <phoneticPr fontId="4"/>
  </si>
  <si>
    <t>役</t>
    <rPh sb="0" eb="1">
      <t>ヤク</t>
    </rPh>
    <phoneticPr fontId="4"/>
  </si>
  <si>
    <t>資格</t>
    <rPh sb="0" eb="2">
      <t>シカク</t>
    </rPh>
    <phoneticPr fontId="4"/>
  </si>
  <si>
    <t>異動</t>
    <rPh sb="0" eb="2">
      <t>イドウ</t>
    </rPh>
    <phoneticPr fontId="4"/>
  </si>
  <si>
    <t>青森県眼科医会入会年月</t>
    <rPh sb="0" eb="7">
      <t>アオモリケンガンカイカイ</t>
    </rPh>
    <rPh sb="7" eb="9">
      <t>ニュウカイ</t>
    </rPh>
    <rPh sb="9" eb="10">
      <t>ネン</t>
    </rPh>
    <rPh sb="10" eb="11">
      <t>ゲツ</t>
    </rPh>
    <phoneticPr fontId="4"/>
  </si>
  <si>
    <t>HPのID</t>
    <phoneticPr fontId="4"/>
  </si>
  <si>
    <t>HPのパスワード</t>
    <phoneticPr fontId="4"/>
  </si>
  <si>
    <t>あ</t>
    <phoneticPr fontId="4"/>
  </si>
  <si>
    <t xml:space="preserve">東　寛子      </t>
    <phoneticPr fontId="4"/>
  </si>
  <si>
    <t xml:space="preserve">ｱｽﾞﾏ ﾋﾛｺ </t>
    <phoneticPr fontId="4"/>
  </si>
  <si>
    <t>八戸平和病院眼科</t>
    <phoneticPr fontId="4"/>
  </si>
  <si>
    <t>031-0823</t>
    <phoneticPr fontId="4"/>
  </si>
  <si>
    <t>八戸市湊高台２－４－６</t>
    <phoneticPr fontId="4"/>
  </si>
  <si>
    <t>031-0053</t>
    <phoneticPr fontId="4"/>
  </si>
  <si>
    <t>八戸市徒士町４－１</t>
    <phoneticPr fontId="4"/>
  </si>
  <si>
    <t>0178-22-1030</t>
    <phoneticPr fontId="4"/>
  </si>
  <si>
    <t>azuma@heiwa-hp.or.jp</t>
    <phoneticPr fontId="24"/>
  </si>
  <si>
    <t>理事</t>
    <rPh sb="0" eb="2">
      <t>リジ</t>
    </rPh>
    <phoneticPr fontId="4"/>
  </si>
  <si>
    <t>B</t>
    <phoneticPr fontId="4"/>
  </si>
  <si>
    <t>hirokoa</t>
    <phoneticPr fontId="4"/>
  </si>
  <si>
    <t xml:space="preserve">荒井優子    </t>
    <phoneticPr fontId="4"/>
  </si>
  <si>
    <t>W</t>
    <phoneticPr fontId="4"/>
  </si>
  <si>
    <t>036-8093</t>
    <phoneticPr fontId="4"/>
  </si>
  <si>
    <t>弘前市城東中央４－２－８</t>
    <phoneticPr fontId="4"/>
  </si>
  <si>
    <t>0172-27-0055</t>
    <phoneticPr fontId="4"/>
  </si>
  <si>
    <t>A</t>
    <phoneticPr fontId="4"/>
  </si>
  <si>
    <t>yuukoa</t>
    <phoneticPr fontId="4"/>
  </si>
  <si>
    <t>jyoutou428</t>
    <phoneticPr fontId="4"/>
  </si>
  <si>
    <t xml:space="preserve">一戸 敏  </t>
    <phoneticPr fontId="4"/>
  </si>
  <si>
    <t>M</t>
    <phoneticPr fontId="4"/>
  </si>
  <si>
    <t>医）一美会　一戸眼科医院</t>
    <phoneticPr fontId="4"/>
  </si>
  <si>
    <t>弘前市富田２－９－６</t>
    <phoneticPr fontId="4"/>
  </si>
  <si>
    <t>弘前市富田２－９－７</t>
    <phoneticPr fontId="4"/>
  </si>
  <si>
    <t>0172-34-3120</t>
    <phoneticPr fontId="4"/>
  </si>
  <si>
    <t>satoshi</t>
    <phoneticPr fontId="4"/>
  </si>
  <si>
    <t>ratshr</t>
    <phoneticPr fontId="4"/>
  </si>
  <si>
    <t>井手哲義</t>
    <rPh sb="0" eb="2">
      <t>イデ</t>
    </rPh>
    <rPh sb="2" eb="4">
      <t>テツヨシ</t>
    </rPh>
    <phoneticPr fontId="4"/>
  </si>
  <si>
    <t>ｲﾃﾞ ﾃﾂﾖｼ</t>
    <phoneticPr fontId="4"/>
  </si>
  <si>
    <t>八戸市大字三日町３０－１ アクシスビル２Ｆ</t>
    <phoneticPr fontId="4"/>
  </si>
  <si>
    <t>031-0011</t>
    <phoneticPr fontId="4"/>
  </si>
  <si>
    <t>八戸市田向字間ノ田52-1 103号</t>
    <rPh sb="0" eb="3">
      <t>ハチノヘシ</t>
    </rPh>
    <rPh sb="3" eb="5">
      <t>タムカイ</t>
    </rPh>
    <rPh sb="5" eb="6">
      <t>アザ</t>
    </rPh>
    <rPh sb="6" eb="7">
      <t>マ</t>
    </rPh>
    <rPh sb="8" eb="9">
      <t>タ</t>
    </rPh>
    <rPh sb="17" eb="18">
      <t>ゴウ</t>
    </rPh>
    <phoneticPr fontId="4"/>
  </si>
  <si>
    <t>090-3962-4954</t>
    <phoneticPr fontId="4"/>
  </si>
  <si>
    <t>tetuyoshi</t>
    <phoneticPr fontId="4"/>
  </si>
  <si>
    <t xml:space="preserve">伊藤信一         </t>
    <phoneticPr fontId="4"/>
  </si>
  <si>
    <t>医療法人マルモ　伊藤眼科クリニック</t>
    <rPh sb="0" eb="4">
      <t>イリョウホウジン</t>
    </rPh>
    <phoneticPr fontId="4"/>
  </si>
  <si>
    <t>030-0912</t>
    <phoneticPr fontId="4"/>
  </si>
  <si>
    <t>青森市八重田４－２－１　ラ・セラ東バイパスショッピングセンター</t>
    <rPh sb="0" eb="2">
      <t>アオモリ</t>
    </rPh>
    <rPh sb="2" eb="3">
      <t>シ</t>
    </rPh>
    <rPh sb="3" eb="6">
      <t>ヤエダ</t>
    </rPh>
    <rPh sb="16" eb="17">
      <t>ヒガシ</t>
    </rPh>
    <phoneticPr fontId="4"/>
  </si>
  <si>
    <t>0177-18-5258</t>
    <phoneticPr fontId="4"/>
  </si>
  <si>
    <t>030-0911</t>
    <phoneticPr fontId="4"/>
  </si>
  <si>
    <t>青森市東造道1丁目16番7号</t>
    <rPh sb="7" eb="9">
      <t>チョウメ</t>
    </rPh>
    <rPh sb="11" eb="12">
      <t>バン</t>
    </rPh>
    <rPh sb="13" eb="14">
      <t>ゴウ</t>
    </rPh>
    <phoneticPr fontId="4"/>
  </si>
  <si>
    <t>0177-18-3290</t>
    <phoneticPr fontId="4"/>
  </si>
  <si>
    <t>免除</t>
    <rPh sb="0" eb="2">
      <t>メンジョ</t>
    </rPh>
    <phoneticPr fontId="4"/>
  </si>
  <si>
    <t>R6年3月AからBへ</t>
    <rPh sb="2" eb="3">
      <t>ネン</t>
    </rPh>
    <rPh sb="4" eb="5">
      <t>ガツ</t>
    </rPh>
    <phoneticPr fontId="4"/>
  </si>
  <si>
    <t>shinichi</t>
    <phoneticPr fontId="4"/>
  </si>
  <si>
    <t>2qz6rpyd</t>
    <phoneticPr fontId="4"/>
  </si>
  <si>
    <t xml:space="preserve">伊藤 忠         </t>
    <phoneticPr fontId="4"/>
  </si>
  <si>
    <t>医療法人複星会　伊藤眼科</t>
    <rPh sb="0" eb="2">
      <t>イリョウ</t>
    </rPh>
    <rPh sb="2" eb="4">
      <t>ホウジン</t>
    </rPh>
    <rPh sb="4" eb="5">
      <t>フク</t>
    </rPh>
    <rPh sb="5" eb="6">
      <t>ホシ</t>
    </rPh>
    <rPh sb="6" eb="7">
      <t>カイ</t>
    </rPh>
    <rPh sb="8" eb="10">
      <t>イトウ</t>
    </rPh>
    <phoneticPr fontId="4"/>
  </si>
  <si>
    <t>036-8006</t>
    <phoneticPr fontId="4"/>
  </si>
  <si>
    <t>弘前市大字南大町２丁目６－３</t>
    <phoneticPr fontId="4"/>
  </si>
  <si>
    <t>0172-33-2248</t>
    <phoneticPr fontId="4"/>
  </si>
  <si>
    <t>tadashii</t>
    <phoneticPr fontId="4"/>
  </si>
  <si>
    <t xml:space="preserve">伊藤千春       </t>
    <phoneticPr fontId="4"/>
  </si>
  <si>
    <t>036-0541</t>
    <phoneticPr fontId="25"/>
  </si>
  <si>
    <t>弘前市茂森新町２－１－９</t>
    <phoneticPr fontId="4"/>
  </si>
  <si>
    <t>0172-34-2067</t>
    <phoneticPr fontId="4"/>
  </si>
  <si>
    <t>chiharu</t>
    <phoneticPr fontId="4"/>
  </si>
  <si>
    <t>井村　詠太郎</t>
    <rPh sb="0" eb="2">
      <t>イムラ</t>
    </rPh>
    <rPh sb="3" eb="4">
      <t>エイ</t>
    </rPh>
    <rPh sb="4" eb="6">
      <t>タロウ</t>
    </rPh>
    <phoneticPr fontId="4"/>
  </si>
  <si>
    <t>ｲﾑﾗ ｴｲﾀﾛｳ</t>
    <phoneticPr fontId="4"/>
  </si>
  <si>
    <t>弘前大学医学部附属病院</t>
    <rPh sb="0" eb="4">
      <t>ヒロサキダイガク</t>
    </rPh>
    <rPh sb="4" eb="7">
      <t>イガクブ</t>
    </rPh>
    <rPh sb="7" eb="9">
      <t>フゾク</t>
    </rPh>
    <rPh sb="9" eb="11">
      <t>ビョウイン</t>
    </rPh>
    <phoneticPr fontId="4"/>
  </si>
  <si>
    <t>036-8563</t>
    <phoneticPr fontId="4"/>
  </si>
  <si>
    <t>青森県弘前市本町５３</t>
    <rPh sb="0" eb="3">
      <t>アオモリケン</t>
    </rPh>
    <rPh sb="3" eb="6">
      <t>ヒロサキシ</t>
    </rPh>
    <rPh sb="6" eb="8">
      <t>ホンマチ</t>
    </rPh>
    <phoneticPr fontId="4"/>
  </si>
  <si>
    <t>0172-33-5111</t>
    <phoneticPr fontId="4"/>
  </si>
  <si>
    <t>036-8227</t>
    <phoneticPr fontId="4"/>
  </si>
  <si>
    <t>青森県弘前市桔梗野1丁目1－57フェリシア101号室</t>
    <rPh sb="0" eb="3">
      <t>アオモリケン</t>
    </rPh>
    <rPh sb="3" eb="6">
      <t>ヒロサキシ</t>
    </rPh>
    <rPh sb="6" eb="8">
      <t>キキョウ</t>
    </rPh>
    <rPh sb="8" eb="9">
      <t>ノ</t>
    </rPh>
    <rPh sb="10" eb="12">
      <t>チョウメ</t>
    </rPh>
    <rPh sb="24" eb="26">
      <t>ゴウシツ</t>
    </rPh>
    <phoneticPr fontId="4"/>
  </si>
  <si>
    <t>090-7647-7900</t>
    <phoneticPr fontId="4"/>
  </si>
  <si>
    <t>imura-16@hirosaki-u.ac.jp</t>
    <phoneticPr fontId="4"/>
  </si>
  <si>
    <t>C弘大</t>
    <rPh sb="1" eb="3">
      <t>ヒロダイ</t>
    </rPh>
    <phoneticPr fontId="4"/>
  </si>
  <si>
    <t>eitaroui</t>
    <phoneticPr fontId="4"/>
  </si>
  <si>
    <t xml:space="preserve">岩船裕一        </t>
    <phoneticPr fontId="4"/>
  </si>
  <si>
    <t>ｲﾜﾌﾈ ﾕｳｲﾁ</t>
    <phoneticPr fontId="4"/>
  </si>
  <si>
    <t>岩船アイクリニック</t>
    <phoneticPr fontId="4"/>
  </si>
  <si>
    <t>0172-32-6641</t>
    <phoneticPr fontId="4"/>
  </si>
  <si>
    <t>yuichi</t>
    <phoneticPr fontId="4"/>
  </si>
  <si>
    <t>toriage1816</t>
    <phoneticPr fontId="4"/>
  </si>
  <si>
    <t>上野真治</t>
    <rPh sb="0" eb="2">
      <t>ウエノ</t>
    </rPh>
    <rPh sb="2" eb="4">
      <t>シンジ</t>
    </rPh>
    <phoneticPr fontId="4"/>
  </si>
  <si>
    <t>ｳｴﾉ ｼﾝｼﾞ</t>
    <phoneticPr fontId="4"/>
  </si>
  <si>
    <t>弘前大学大学院医学研究科</t>
    <rPh sb="0" eb="4">
      <t>ヒロサキダイガク</t>
    </rPh>
    <rPh sb="4" eb="7">
      <t>ダイガクイン</t>
    </rPh>
    <rPh sb="7" eb="12">
      <t>イガクケンキュウカ</t>
    </rPh>
    <phoneticPr fontId="4"/>
  </si>
  <si>
    <t>036-8562</t>
    <phoneticPr fontId="4"/>
  </si>
  <si>
    <t>弘前市在府町５</t>
    <rPh sb="0" eb="3">
      <t>ヒロサキシ</t>
    </rPh>
    <rPh sb="3" eb="6">
      <t>ザイフチョウ</t>
    </rPh>
    <phoneticPr fontId="4"/>
  </si>
  <si>
    <t>0172-39-5095</t>
    <phoneticPr fontId="4"/>
  </si>
  <si>
    <t>036-8216</t>
    <phoneticPr fontId="4"/>
  </si>
  <si>
    <t>弘前市在府町３０－１、３０５</t>
    <rPh sb="0" eb="3">
      <t>ヒロサキシ</t>
    </rPh>
    <rPh sb="3" eb="6">
      <t>ザイフチョウ</t>
    </rPh>
    <phoneticPr fontId="4"/>
  </si>
  <si>
    <t>090-7305-4258</t>
    <phoneticPr fontId="4"/>
  </si>
  <si>
    <t>B弘大</t>
    <rPh sb="1" eb="3">
      <t>ヒロダイ</t>
    </rPh>
    <phoneticPr fontId="4"/>
  </si>
  <si>
    <t>shinji</t>
    <phoneticPr fontId="4"/>
  </si>
  <si>
    <t>A3fxS28k</t>
    <phoneticPr fontId="4"/>
  </si>
  <si>
    <t xml:space="preserve">瓜田千紗子        </t>
    <phoneticPr fontId="4"/>
  </si>
  <si>
    <t>瓜田医院</t>
    <phoneticPr fontId="4"/>
  </si>
  <si>
    <t>038-3503</t>
    <phoneticPr fontId="4"/>
  </si>
  <si>
    <t>北津軽郡鶴田町相原５５－１</t>
    <phoneticPr fontId="4"/>
  </si>
  <si>
    <t>0173-22-3036</t>
    <phoneticPr fontId="4"/>
  </si>
  <si>
    <t>chisako</t>
    <phoneticPr fontId="4"/>
  </si>
  <si>
    <t xml:space="preserve">大島真理       </t>
    <phoneticPr fontId="4"/>
  </si>
  <si>
    <t>大島眼科</t>
    <phoneticPr fontId="4"/>
  </si>
  <si>
    <t>mari</t>
    <phoneticPr fontId="4"/>
  </si>
  <si>
    <t>mizusawa0210</t>
    <phoneticPr fontId="4"/>
  </si>
  <si>
    <t xml:space="preserve">太田卓也        </t>
    <phoneticPr fontId="4"/>
  </si>
  <si>
    <t>036-8226</t>
    <phoneticPr fontId="4"/>
  </si>
  <si>
    <t>弘前市寒沢町５－７９</t>
    <phoneticPr fontId="4"/>
  </si>
  <si>
    <t>理事・副会長</t>
    <rPh sb="0" eb="2">
      <t>リジ</t>
    </rPh>
    <rPh sb="3" eb="6">
      <t>フクカイチョウ</t>
    </rPh>
    <phoneticPr fontId="4"/>
  </si>
  <si>
    <t>takuya</t>
    <phoneticPr fontId="4"/>
  </si>
  <si>
    <t>9byq6ru8</t>
    <phoneticPr fontId="4"/>
  </si>
  <si>
    <t>尾崎 裕之</t>
    <rPh sb="0" eb="2">
      <t>オザキ</t>
    </rPh>
    <rPh sb="3" eb="5">
      <t>ヒロユキ</t>
    </rPh>
    <phoneticPr fontId="4"/>
  </si>
  <si>
    <t>ｵｻﾞｷ ﾋﾛﾕｷ</t>
    <phoneticPr fontId="4"/>
  </si>
  <si>
    <t>青森県弘前市本町５３</t>
    <rPh sb="0" eb="6">
      <t>アオモリケンヒロサキシ</t>
    </rPh>
    <rPh sb="6" eb="8">
      <t>ホンチョウ</t>
    </rPh>
    <phoneticPr fontId="4"/>
  </si>
  <si>
    <t>036ｰ8228</t>
    <phoneticPr fontId="4"/>
  </si>
  <si>
    <t>青森県弘前市樹木4丁目3-52</t>
    <rPh sb="0" eb="3">
      <t>アオモリケン</t>
    </rPh>
    <rPh sb="3" eb="6">
      <t>ヒロサキシ</t>
    </rPh>
    <rPh sb="6" eb="8">
      <t>ジュモク</t>
    </rPh>
    <rPh sb="9" eb="11">
      <t>チョウメ</t>
    </rPh>
    <phoneticPr fontId="4"/>
  </si>
  <si>
    <t>090-3750-1023</t>
    <phoneticPr fontId="4"/>
  </si>
  <si>
    <t>ozaki-hiroyuki@hirosaki-u.ac.jp</t>
    <phoneticPr fontId="4"/>
  </si>
  <si>
    <t>hiroyukio</t>
    <phoneticPr fontId="4"/>
  </si>
  <si>
    <t>小田桐 由佳</t>
    <rPh sb="0" eb="3">
      <t>オダギリ</t>
    </rPh>
    <rPh sb="4" eb="6">
      <t>ユカ</t>
    </rPh>
    <phoneticPr fontId="4"/>
  </si>
  <si>
    <t>ｵﾀﾞｷﾞﾘ ﾕｶ</t>
    <phoneticPr fontId="4"/>
  </si>
  <si>
    <t>036-8195</t>
    <phoneticPr fontId="4"/>
  </si>
  <si>
    <t>青森県弘前市南川端町１８－１ベルクレール南川端203号室</t>
    <rPh sb="0" eb="3">
      <t>アオモリケン</t>
    </rPh>
    <rPh sb="3" eb="6">
      <t>ヒロサキシ</t>
    </rPh>
    <rPh sb="6" eb="7">
      <t>ミナミ</t>
    </rPh>
    <rPh sb="7" eb="10">
      <t>カワバタチョウ</t>
    </rPh>
    <rPh sb="20" eb="23">
      <t>ミナミカワバタ</t>
    </rPh>
    <rPh sb="26" eb="28">
      <t>ゴウシツ</t>
    </rPh>
    <phoneticPr fontId="4"/>
  </si>
  <si>
    <t>080-8214-7724</t>
    <phoneticPr fontId="4"/>
  </si>
  <si>
    <t>y.o.bdm0126@gmail.com</t>
    <phoneticPr fontId="4"/>
  </si>
  <si>
    <t>yukao</t>
    <phoneticPr fontId="4"/>
  </si>
  <si>
    <t>か</t>
    <phoneticPr fontId="4"/>
  </si>
  <si>
    <t xml:space="preserve">陰山俊之      </t>
    <phoneticPr fontId="4"/>
  </si>
  <si>
    <t>ｶｹﾞﾔﾏ ﾄｼﾕｷ</t>
    <phoneticPr fontId="4"/>
  </si>
  <si>
    <t>ナンブクリニック</t>
    <phoneticPr fontId="4"/>
  </si>
  <si>
    <t xml:space="preserve">三戸郡南部町沖田面千刈４７－１ </t>
    <phoneticPr fontId="4"/>
  </si>
  <si>
    <t>三戸郡南部町沖田面字沖中２０－２</t>
    <rPh sb="9" eb="10">
      <t>アザ</t>
    </rPh>
    <phoneticPr fontId="4"/>
  </si>
  <si>
    <t>toshiyuki</t>
    <phoneticPr fontId="4"/>
  </si>
  <si>
    <t>5ngxfzbk</t>
    <phoneticPr fontId="4"/>
  </si>
  <si>
    <t xml:space="preserve">陰山美樹        </t>
    <phoneticPr fontId="4"/>
  </si>
  <si>
    <t>miki</t>
    <phoneticPr fontId="4"/>
  </si>
  <si>
    <t xml:space="preserve">片岡英樹      </t>
    <phoneticPr fontId="4"/>
  </si>
  <si>
    <t>ｶﾀｵｶ ﾋﾃﾞｷ</t>
    <phoneticPr fontId="4"/>
  </si>
  <si>
    <t>青森県立中央病院眼科</t>
    <phoneticPr fontId="4"/>
  </si>
  <si>
    <t>017-726-8111</t>
    <phoneticPr fontId="4"/>
  </si>
  <si>
    <t>030-0961</t>
    <phoneticPr fontId="4"/>
  </si>
  <si>
    <t>青森市浪打2丁目１０－１６　３０１号</t>
    <rPh sb="0" eb="3">
      <t>アオモリシ</t>
    </rPh>
    <rPh sb="3" eb="5">
      <t>ナミウチ</t>
    </rPh>
    <rPh sb="6" eb="8">
      <t>チョウメ</t>
    </rPh>
    <rPh sb="17" eb="18">
      <t>ゴウ</t>
    </rPh>
    <phoneticPr fontId="4"/>
  </si>
  <si>
    <t>017-744-0129</t>
    <phoneticPr fontId="4"/>
  </si>
  <si>
    <t>hideki_kataoka@med.pref.aomori.jp</t>
    <phoneticPr fontId="24"/>
  </si>
  <si>
    <t>hideki</t>
    <phoneticPr fontId="4"/>
  </si>
  <si>
    <t>welcome</t>
    <phoneticPr fontId="4"/>
  </si>
  <si>
    <t xml:space="preserve">片岡史子     </t>
    <phoneticPr fontId="4"/>
  </si>
  <si>
    <t>13374</t>
    <phoneticPr fontId="4"/>
  </si>
  <si>
    <t>fumiko</t>
    <phoneticPr fontId="4"/>
  </si>
  <si>
    <t>willkommen</t>
    <phoneticPr fontId="4"/>
  </si>
  <si>
    <t xml:space="preserve">片山君予         </t>
    <phoneticPr fontId="4"/>
  </si>
  <si>
    <t>つがる総合病院眼科</t>
    <rPh sb="3" eb="5">
      <t>ソウゴウ</t>
    </rPh>
    <rPh sb="5" eb="7">
      <t>ビョウイン</t>
    </rPh>
    <phoneticPr fontId="4"/>
  </si>
  <si>
    <t>037-0074</t>
    <phoneticPr fontId="4"/>
  </si>
  <si>
    <t>五所川原市岩木町12-3</t>
    <rPh sb="5" eb="8">
      <t>イワキマチ</t>
    </rPh>
    <phoneticPr fontId="4"/>
  </si>
  <si>
    <t>0173-35-3111</t>
    <phoneticPr fontId="4"/>
  </si>
  <si>
    <t>kimiyo</t>
    <phoneticPr fontId="4"/>
  </si>
  <si>
    <t>hirodai</t>
    <phoneticPr fontId="4"/>
  </si>
  <si>
    <t xml:space="preserve">加藤智博         </t>
    <phoneticPr fontId="4"/>
  </si>
  <si>
    <t>chihiro</t>
    <phoneticPr fontId="4"/>
  </si>
  <si>
    <t>kunitachi0408</t>
    <phoneticPr fontId="4"/>
  </si>
  <si>
    <t xml:space="preserve">神山　巽        </t>
    <phoneticPr fontId="4"/>
  </si>
  <si>
    <t>039-1111</t>
    <phoneticPr fontId="4"/>
  </si>
  <si>
    <t>八戸市東白山台４－２－６</t>
    <phoneticPr fontId="4"/>
  </si>
  <si>
    <t>tatsumi</t>
    <phoneticPr fontId="4"/>
  </si>
  <si>
    <t xml:space="preserve">菊地泰弘    　    </t>
    <phoneticPr fontId="4"/>
  </si>
  <si>
    <t>yasuhirok</t>
    <phoneticPr fontId="4"/>
  </si>
  <si>
    <t>j2gzxb</t>
    <phoneticPr fontId="4"/>
  </si>
  <si>
    <t xml:space="preserve">木戸愛子       </t>
    <phoneticPr fontId="4"/>
  </si>
  <si>
    <t>030-0841</t>
    <phoneticPr fontId="4"/>
  </si>
  <si>
    <t>青森市奥野2丁目２０－１ビバイン松原</t>
    <rPh sb="0" eb="3">
      <t>アオモリシ</t>
    </rPh>
    <rPh sb="3" eb="5">
      <t>オクノ</t>
    </rPh>
    <rPh sb="6" eb="8">
      <t>チョウメ</t>
    </rPh>
    <rPh sb="16" eb="18">
      <t>マツバラ</t>
    </rPh>
    <phoneticPr fontId="4"/>
  </si>
  <si>
    <t>aikoki</t>
    <phoneticPr fontId="4"/>
  </si>
  <si>
    <t xml:space="preserve">木村智美         </t>
    <phoneticPr fontId="4"/>
  </si>
  <si>
    <t>弘前市大町３－５－１　ＭＫビル３０３</t>
    <phoneticPr fontId="4"/>
  </si>
  <si>
    <t>tomomis</t>
    <phoneticPr fontId="4"/>
  </si>
  <si>
    <t xml:space="preserve">木村 聡        </t>
    <phoneticPr fontId="4"/>
  </si>
  <si>
    <t>八戸市立市民病院眼科</t>
    <rPh sb="2" eb="4">
      <t>シリツ</t>
    </rPh>
    <phoneticPr fontId="4"/>
  </si>
  <si>
    <t>031-8555</t>
    <phoneticPr fontId="4"/>
  </si>
  <si>
    <t>八戸市田向3丁目１－１</t>
    <rPh sb="3" eb="4">
      <t>デン</t>
    </rPh>
    <rPh sb="4" eb="5">
      <t>コウ</t>
    </rPh>
    <rPh sb="6" eb="8">
      <t>チョウメ</t>
    </rPh>
    <phoneticPr fontId="4"/>
  </si>
  <si>
    <t>031ｰ0822</t>
    <phoneticPr fontId="4"/>
  </si>
  <si>
    <t>八戸市銀町字堀の外14-41労災病院宿舎305</t>
    <rPh sb="0" eb="3">
      <t>ハチノヘシ</t>
    </rPh>
    <rPh sb="3" eb="5">
      <t>シロガネマチ</t>
    </rPh>
    <rPh sb="5" eb="6">
      <t>アザ</t>
    </rPh>
    <rPh sb="6" eb="7">
      <t>ホリ</t>
    </rPh>
    <rPh sb="8" eb="9">
      <t>ソト</t>
    </rPh>
    <rPh sb="14" eb="18">
      <t>ロウサイビョウイン</t>
    </rPh>
    <rPh sb="18" eb="20">
      <t>シュクシャ</t>
    </rPh>
    <phoneticPr fontId="4"/>
  </si>
  <si>
    <t>satoru</t>
    <phoneticPr fontId="4"/>
  </si>
  <si>
    <t xml:space="preserve">木村百子       </t>
    <phoneticPr fontId="4"/>
  </si>
  <si>
    <t>0178-22-7927</t>
    <phoneticPr fontId="4"/>
  </si>
  <si>
    <t>momoko</t>
    <phoneticPr fontId="4"/>
  </si>
  <si>
    <t xml:space="preserve">工藤朝香        </t>
    <phoneticPr fontId="4"/>
  </si>
  <si>
    <t>弘前大学医学部眼科</t>
    <rPh sb="4" eb="6">
      <t>イガク</t>
    </rPh>
    <rPh sb="6" eb="7">
      <t>ブ</t>
    </rPh>
    <phoneticPr fontId="4"/>
  </si>
  <si>
    <t>弘前市在府町５</t>
    <phoneticPr fontId="4"/>
  </si>
  <si>
    <t>asaka</t>
    <phoneticPr fontId="4"/>
  </si>
  <si>
    <t>kanagi</t>
    <phoneticPr fontId="4"/>
  </si>
  <si>
    <t>工藤晶子</t>
    <rPh sb="0" eb="2">
      <t>クドウ</t>
    </rPh>
    <rPh sb="2" eb="4">
      <t>ショウコ</t>
    </rPh>
    <phoneticPr fontId="4"/>
  </si>
  <si>
    <t>ｸﾄﾞｳ ｱｷｺ</t>
    <phoneticPr fontId="4"/>
  </si>
  <si>
    <t>よしだ眼科クリニック</t>
    <rPh sb="3" eb="5">
      <t>ガンカ</t>
    </rPh>
    <phoneticPr fontId="4"/>
  </si>
  <si>
    <t>017-0885</t>
    <phoneticPr fontId="4"/>
  </si>
  <si>
    <t>秋田県大館市豊町9-45</t>
    <phoneticPr fontId="4"/>
  </si>
  <si>
    <t>akikoku</t>
    <phoneticPr fontId="4"/>
  </si>
  <si>
    <t xml:space="preserve">工藤孝志        </t>
    <phoneticPr fontId="4"/>
  </si>
  <si>
    <t>十和田市立中央病院眼科</t>
    <rPh sb="0" eb="5">
      <t>トワダシリツ</t>
    </rPh>
    <rPh sb="5" eb="9">
      <t>チュウオウビョウイン</t>
    </rPh>
    <rPh sb="9" eb="11">
      <t>ガンカ</t>
    </rPh>
    <phoneticPr fontId="4"/>
  </si>
  <si>
    <t>034-0093</t>
    <phoneticPr fontId="4"/>
  </si>
  <si>
    <t>十和田市西十二番町14番8号</t>
    <rPh sb="0" eb="4">
      <t>トワダシ</t>
    </rPh>
    <rPh sb="4" eb="5">
      <t>ニシ</t>
    </rPh>
    <rPh sb="11" eb="12">
      <t>バン</t>
    </rPh>
    <rPh sb="13" eb="14">
      <t>ゴウ</t>
    </rPh>
    <phoneticPr fontId="4"/>
  </si>
  <si>
    <t>0176-22-2111</t>
    <phoneticPr fontId="4"/>
  </si>
  <si>
    <t>034-0011</t>
    <phoneticPr fontId="4"/>
  </si>
  <si>
    <t>十和田市西十三番町25-2　さくらレジデンス302号</t>
    <rPh sb="0" eb="4">
      <t>トワダシ</t>
    </rPh>
    <rPh sb="4" eb="5">
      <t>ニシ</t>
    </rPh>
    <rPh sb="25" eb="26">
      <t>ゴウ</t>
    </rPh>
    <phoneticPr fontId="4"/>
  </si>
  <si>
    <t>kudo_takashi_80828@yahoo.co.jp</t>
    <phoneticPr fontId="4"/>
  </si>
  <si>
    <t>R6年4月弘大から十和田へ転属</t>
    <rPh sb="2" eb="3">
      <t>ネン</t>
    </rPh>
    <rPh sb="4" eb="5">
      <t>ガツ</t>
    </rPh>
    <rPh sb="5" eb="7">
      <t>ヒロダイ</t>
    </rPh>
    <rPh sb="9" eb="12">
      <t>トワダ</t>
    </rPh>
    <rPh sb="13" eb="15">
      <t>テンゾク</t>
    </rPh>
    <phoneticPr fontId="4"/>
  </si>
  <si>
    <t>takashik</t>
    <phoneticPr fontId="4"/>
  </si>
  <si>
    <t>d7st6x</t>
    <phoneticPr fontId="4"/>
  </si>
  <si>
    <t xml:space="preserve">工藤高道   </t>
    <phoneticPr fontId="4"/>
  </si>
  <si>
    <t>takamichi</t>
    <phoneticPr fontId="4"/>
  </si>
  <si>
    <t>negi51</t>
    <phoneticPr fontId="4"/>
  </si>
  <si>
    <t xml:space="preserve">久保勝文         </t>
    <phoneticPr fontId="4"/>
  </si>
  <si>
    <t>masabumi</t>
    <phoneticPr fontId="4"/>
  </si>
  <si>
    <t>jogginggogo</t>
    <phoneticPr fontId="4"/>
  </si>
  <si>
    <t xml:space="preserve">熊谷俊一       </t>
    <phoneticPr fontId="4"/>
  </si>
  <si>
    <t>八戸市小中野四丁目１－５３</t>
    <rPh sb="6" eb="9">
      <t>ヨンチョウメ</t>
    </rPh>
    <phoneticPr fontId="4"/>
  </si>
  <si>
    <t>shunichi</t>
    <phoneticPr fontId="4"/>
  </si>
  <si>
    <t>熊谷知幸</t>
    <rPh sb="2" eb="3">
      <t>チ</t>
    </rPh>
    <rPh sb="3" eb="4">
      <t>ユキ</t>
    </rPh>
    <phoneticPr fontId="4"/>
  </si>
  <si>
    <t>ｸﾏｶﾞｲﾄﾓﾕｷ</t>
    <phoneticPr fontId="4"/>
  </si>
  <si>
    <t>tomoyukiku</t>
    <phoneticPr fontId="4"/>
  </si>
  <si>
    <t xml:space="preserve">栗原睦美       </t>
    <phoneticPr fontId="4"/>
  </si>
  <si>
    <t>むつみ眼科ｸﾘﾆｯｸ</t>
    <phoneticPr fontId="4"/>
  </si>
  <si>
    <t>033-0001</t>
    <phoneticPr fontId="4"/>
  </si>
  <si>
    <t>三沢市中央町三丁目12-36</t>
    <rPh sb="0" eb="3">
      <t>ミサワシ</t>
    </rPh>
    <rPh sb="3" eb="6">
      <t>チュウオウチョウ</t>
    </rPh>
    <rPh sb="6" eb="7">
      <t>サン</t>
    </rPh>
    <rPh sb="7" eb="9">
      <t>チョウメ</t>
    </rPh>
    <phoneticPr fontId="4"/>
  </si>
  <si>
    <t>0176-58-5215</t>
    <phoneticPr fontId="4"/>
  </si>
  <si>
    <t>0178-33-5183</t>
    <phoneticPr fontId="4"/>
  </si>
  <si>
    <t>mutsumi</t>
    <phoneticPr fontId="4"/>
  </si>
  <si>
    <t>黒坂成希</t>
    <rPh sb="0" eb="2">
      <t>クロサカ</t>
    </rPh>
    <rPh sb="2" eb="4">
      <t>ナルキ</t>
    </rPh>
    <phoneticPr fontId="4"/>
  </si>
  <si>
    <t>ｸﾛｻｶ ﾅﾙｷ</t>
    <phoneticPr fontId="4"/>
  </si>
  <si>
    <t>青森県立中央病院　眼科</t>
    <rPh sb="0" eb="4">
      <t>アオモリケンリツ</t>
    </rPh>
    <rPh sb="4" eb="8">
      <t>チュウオウビョウイン</t>
    </rPh>
    <rPh sb="9" eb="11">
      <t>ガンカ</t>
    </rPh>
    <phoneticPr fontId="4"/>
  </si>
  <si>
    <t>030-8553</t>
    <phoneticPr fontId="4"/>
  </si>
  <si>
    <t>青森市東造道2丁目1番地1号</t>
    <rPh sb="0" eb="3">
      <t>アオモリシ</t>
    </rPh>
    <rPh sb="3" eb="6">
      <t>ヒガシツクリミチ</t>
    </rPh>
    <rPh sb="7" eb="9">
      <t>チョウメ</t>
    </rPh>
    <rPh sb="10" eb="12">
      <t>バンチ</t>
    </rPh>
    <rPh sb="13" eb="14">
      <t>ゴウ</t>
    </rPh>
    <phoneticPr fontId="4"/>
  </si>
  <si>
    <t>017-726-8257</t>
    <phoneticPr fontId="4"/>
  </si>
  <si>
    <t>036-8364</t>
    <phoneticPr fontId="4"/>
  </si>
  <si>
    <t>弘前市新町１６６－１シャーメゾンまるぜん202</t>
    <rPh sb="0" eb="3">
      <t>ヒロサキシ</t>
    </rPh>
    <phoneticPr fontId="4"/>
  </si>
  <si>
    <t>080-6038-0676</t>
    <phoneticPr fontId="4"/>
  </si>
  <si>
    <t>kurosaka1128@hirosaki-u.ac.jp</t>
    <phoneticPr fontId="4"/>
  </si>
  <si>
    <t>C</t>
    <phoneticPr fontId="4"/>
  </si>
  <si>
    <t>R6年4月日弘大から青森県立中央病院へ転属</t>
    <rPh sb="2" eb="3">
      <t>ネン</t>
    </rPh>
    <rPh sb="4" eb="5">
      <t>ガツ</t>
    </rPh>
    <rPh sb="5" eb="6">
      <t>ヒ</t>
    </rPh>
    <rPh sb="6" eb="8">
      <t>ヒロダイ</t>
    </rPh>
    <rPh sb="10" eb="18">
      <t>アオモリケンリツチュウオウビョウイン</t>
    </rPh>
    <rPh sb="19" eb="21">
      <t>テンゾク</t>
    </rPh>
    <phoneticPr fontId="4"/>
  </si>
  <si>
    <t>naruki</t>
    <phoneticPr fontId="4"/>
  </si>
  <si>
    <t xml:space="preserve">黒滝淳二       </t>
    <phoneticPr fontId="4"/>
  </si>
  <si>
    <t>黒瀧眼科医院</t>
    <rPh sb="0" eb="2">
      <t>クロタキ</t>
    </rPh>
    <rPh sb="2" eb="4">
      <t>ガンカ</t>
    </rPh>
    <rPh sb="4" eb="6">
      <t>イイン</t>
    </rPh>
    <phoneticPr fontId="4"/>
  </si>
  <si>
    <t>031-0075</t>
    <phoneticPr fontId="4"/>
  </si>
  <si>
    <t>八戸市内丸三丁目5-15</t>
    <rPh sb="0" eb="3">
      <t>ハチノヘシ</t>
    </rPh>
    <rPh sb="3" eb="5">
      <t>ウチマル</t>
    </rPh>
    <rPh sb="5" eb="6">
      <t>サン</t>
    </rPh>
    <rPh sb="6" eb="8">
      <t>チョウメ</t>
    </rPh>
    <phoneticPr fontId="4"/>
  </si>
  <si>
    <t>0178-51-8400</t>
    <phoneticPr fontId="4"/>
  </si>
  <si>
    <t>junji</t>
    <phoneticPr fontId="4"/>
  </si>
  <si>
    <t>devgiri8848</t>
    <phoneticPr fontId="4"/>
  </si>
  <si>
    <t>古川智美</t>
    <rPh sb="0" eb="2">
      <t>コガワ</t>
    </rPh>
    <rPh sb="2" eb="4">
      <t>サトミ</t>
    </rPh>
    <phoneticPr fontId="4"/>
  </si>
  <si>
    <t>ｺｶﾞﾜ　ｻﾄﾐ</t>
    <phoneticPr fontId="4"/>
  </si>
  <si>
    <t>弘前大学医学部眼科</t>
    <phoneticPr fontId="4"/>
  </si>
  <si>
    <t>弘前市新町３８－２　CLタウンF棟</t>
    <rPh sb="0" eb="3">
      <t>ヒロサキシ</t>
    </rPh>
    <rPh sb="3" eb="5">
      <t>シンマチ</t>
    </rPh>
    <rPh sb="16" eb="17">
      <t>トウ</t>
    </rPh>
    <phoneticPr fontId="4"/>
  </si>
  <si>
    <t>070-5616-4547</t>
    <phoneticPr fontId="4"/>
  </si>
  <si>
    <t>satomi</t>
    <phoneticPr fontId="4"/>
  </si>
  <si>
    <t>030612</t>
    <phoneticPr fontId="4"/>
  </si>
  <si>
    <t>小島 創太</t>
    <rPh sb="0" eb="2">
      <t>コジマ</t>
    </rPh>
    <rPh sb="3" eb="5">
      <t>ソウタ</t>
    </rPh>
    <phoneticPr fontId="4"/>
  </si>
  <si>
    <t>ｺｼﾞﾏ ｿｳﾀ</t>
    <phoneticPr fontId="4"/>
  </si>
  <si>
    <t>江陽アイクリニック</t>
    <rPh sb="0" eb="2">
      <t>コウヨウ</t>
    </rPh>
    <phoneticPr fontId="4"/>
  </si>
  <si>
    <t>031-0801</t>
    <phoneticPr fontId="4"/>
  </si>
  <si>
    <t>八戸市江陽2丁目14-1 ラピア2階</t>
    <rPh sb="0" eb="3">
      <t>ハチノヘシ</t>
    </rPh>
    <rPh sb="3" eb="5">
      <t>コウヨウ</t>
    </rPh>
    <rPh sb="6" eb="8">
      <t>チョウメ</t>
    </rPh>
    <rPh sb="17" eb="18">
      <t>カイ</t>
    </rPh>
    <phoneticPr fontId="4"/>
  </si>
  <si>
    <t>0178-45-1751</t>
    <phoneticPr fontId="4"/>
  </si>
  <si>
    <t>031-0001</t>
    <phoneticPr fontId="4"/>
  </si>
  <si>
    <t>八戸市類家2丁目7-20 フェシス類家B203</t>
    <rPh sb="0" eb="3">
      <t>ハチノヘシ</t>
    </rPh>
    <rPh sb="3" eb="5">
      <t>ルイケ</t>
    </rPh>
    <rPh sb="6" eb="8">
      <t>チョウメ</t>
    </rPh>
    <rPh sb="17" eb="19">
      <t>ルイケ</t>
    </rPh>
    <phoneticPr fontId="4"/>
  </si>
  <si>
    <t>090-2029-2058</t>
    <phoneticPr fontId="4"/>
  </si>
  <si>
    <t>souta</t>
    <phoneticPr fontId="4"/>
  </si>
  <si>
    <t xml:space="preserve">小堀和子        </t>
    <phoneticPr fontId="4"/>
  </si>
  <si>
    <t>ｺﾎﾞﾘ ｶｽﾞｺ</t>
    <phoneticPr fontId="4"/>
  </si>
  <si>
    <t>030-0963</t>
    <phoneticPr fontId="4"/>
  </si>
  <si>
    <t>青森市中佃２－７－３４</t>
    <phoneticPr fontId="4"/>
  </si>
  <si>
    <t>kazuko</t>
    <phoneticPr fontId="4"/>
  </si>
  <si>
    <t>小堀宏理</t>
    <rPh sb="0" eb="2">
      <t>コボリ</t>
    </rPh>
    <rPh sb="2" eb="3">
      <t>ヒロ</t>
    </rPh>
    <rPh sb="3" eb="4">
      <t>リ</t>
    </rPh>
    <phoneticPr fontId="4"/>
  </si>
  <si>
    <t>ｺﾎﾞﾘ ﾋﾛﾐﾁ</t>
    <phoneticPr fontId="4"/>
  </si>
  <si>
    <t>036-8181</t>
    <phoneticPr fontId="4"/>
  </si>
  <si>
    <t>弘前市山道町２１番地１　朝日プラザ山道町５０１号</t>
    <rPh sb="0" eb="3">
      <t>ヒロサキシ</t>
    </rPh>
    <rPh sb="3" eb="5">
      <t>ヤマミチ</t>
    </rPh>
    <rPh sb="5" eb="6">
      <t>マチ</t>
    </rPh>
    <rPh sb="8" eb="10">
      <t>バンチ</t>
    </rPh>
    <rPh sb="12" eb="14">
      <t>アサヒ</t>
    </rPh>
    <rPh sb="17" eb="19">
      <t>ヤマミチ</t>
    </rPh>
    <rPh sb="19" eb="20">
      <t>マチ</t>
    </rPh>
    <rPh sb="23" eb="24">
      <t>ゴウ</t>
    </rPh>
    <phoneticPr fontId="4"/>
  </si>
  <si>
    <t>080-6036-5646</t>
    <phoneticPr fontId="4"/>
  </si>
  <si>
    <t>hiromichi</t>
    <phoneticPr fontId="4"/>
  </si>
  <si>
    <t>061112</t>
    <phoneticPr fontId="4"/>
  </si>
  <si>
    <t xml:space="preserve">権 昭致       </t>
    <phoneticPr fontId="4"/>
  </si>
  <si>
    <t>医療法人　慶成　ごん眼科</t>
    <rPh sb="0" eb="4">
      <t>イリョウホウジン</t>
    </rPh>
    <rPh sb="5" eb="6">
      <t>ケイ</t>
    </rPh>
    <rPh sb="6" eb="7">
      <t>シゲル</t>
    </rPh>
    <phoneticPr fontId="4"/>
  </si>
  <si>
    <t>038-0015</t>
    <phoneticPr fontId="4"/>
  </si>
  <si>
    <t>青森市千刈２－１－３５</t>
    <phoneticPr fontId="4"/>
  </si>
  <si>
    <t>017-766-8877</t>
    <phoneticPr fontId="4"/>
  </si>
  <si>
    <t>akimune</t>
    <phoneticPr fontId="4"/>
  </si>
  <si>
    <t>bze3fqr2</t>
    <phoneticPr fontId="4"/>
  </si>
  <si>
    <t>さ</t>
    <phoneticPr fontId="4"/>
  </si>
  <si>
    <t xml:space="preserve">齋藤かほり        </t>
    <phoneticPr fontId="4"/>
  </si>
  <si>
    <t>ｻｲﾄｳ ｶﾎﾘ</t>
    <phoneticPr fontId="4"/>
  </si>
  <si>
    <t>医）青森眼科クリニック</t>
    <phoneticPr fontId="4"/>
  </si>
  <si>
    <t>青森市東造道１－４－３</t>
    <phoneticPr fontId="4"/>
  </si>
  <si>
    <t>017-736-8111</t>
    <phoneticPr fontId="4"/>
  </si>
  <si>
    <t>青森市浪打１－１９－１</t>
    <phoneticPr fontId="4"/>
  </si>
  <si>
    <t>kahori</t>
    <phoneticPr fontId="4"/>
  </si>
  <si>
    <t>q5sxhy</t>
    <phoneticPr fontId="4"/>
  </si>
  <si>
    <t xml:space="preserve">斎藤桂子        </t>
    <phoneticPr fontId="4"/>
  </si>
  <si>
    <t>八戸市田向3丁目１－１</t>
    <rPh sb="6" eb="8">
      <t>チョウメ</t>
    </rPh>
    <phoneticPr fontId="4"/>
  </si>
  <si>
    <t>keikos</t>
    <phoneticPr fontId="4"/>
  </si>
  <si>
    <t>violin</t>
    <phoneticPr fontId="4"/>
  </si>
  <si>
    <t xml:space="preserve">坂下昌弘      </t>
    <phoneticPr fontId="4"/>
  </si>
  <si>
    <t>masahiro</t>
    <phoneticPr fontId="4"/>
  </si>
  <si>
    <t>sakashita3210</t>
    <phoneticPr fontId="4"/>
  </si>
  <si>
    <t xml:space="preserve">櫻庭知己        </t>
    <rPh sb="0" eb="1">
      <t>サクラ</t>
    </rPh>
    <phoneticPr fontId="4"/>
  </si>
  <si>
    <t>ｻｸﾗﾊﾞﾄﾓｷ</t>
    <phoneticPr fontId="4"/>
  </si>
  <si>
    <t>tomoki</t>
    <phoneticPr fontId="4"/>
  </si>
  <si>
    <t>victory777</t>
    <phoneticPr fontId="4"/>
  </si>
  <si>
    <t xml:space="preserve">佐藤元哉        </t>
    <phoneticPr fontId="4"/>
  </si>
  <si>
    <t>motoya</t>
    <phoneticPr fontId="4"/>
  </si>
  <si>
    <t>0177423077</t>
    <phoneticPr fontId="4"/>
  </si>
  <si>
    <t xml:space="preserve">三戸千賀子        </t>
    <phoneticPr fontId="4"/>
  </si>
  <si>
    <t>青森市浪館字志田２４番地</t>
    <rPh sb="5" eb="6">
      <t>アザ</t>
    </rPh>
    <rPh sb="10" eb="12">
      <t>バンチ</t>
    </rPh>
    <phoneticPr fontId="4"/>
  </si>
  <si>
    <t>監事</t>
    <rPh sb="0" eb="2">
      <t>カンジ</t>
    </rPh>
    <phoneticPr fontId="4"/>
  </si>
  <si>
    <t>chikako</t>
    <phoneticPr fontId="4"/>
  </si>
  <si>
    <t>d72semh9</t>
    <phoneticPr fontId="4"/>
  </si>
  <si>
    <t>鹿内祐樹</t>
    <rPh sb="0" eb="2">
      <t>シカナイ</t>
    </rPh>
    <rPh sb="2" eb="4">
      <t>ユウキ</t>
    </rPh>
    <phoneticPr fontId="4"/>
  </si>
  <si>
    <t>ｼｶﾅｲ ﾕｳｷ</t>
    <phoneticPr fontId="4"/>
  </si>
  <si>
    <t xml:space="preserve">鹿内眼科医院 </t>
    <rPh sb="0" eb="2">
      <t>シカナイ</t>
    </rPh>
    <rPh sb="2" eb="4">
      <t>ガンカ</t>
    </rPh>
    <rPh sb="4" eb="6">
      <t>イイン</t>
    </rPh>
    <phoneticPr fontId="4"/>
  </si>
  <si>
    <t>039-1166</t>
    <phoneticPr fontId="4"/>
  </si>
  <si>
    <t>八戸市根城馬場頭2-2</t>
    <rPh sb="0" eb="3">
      <t>ハチノヘシ</t>
    </rPh>
    <rPh sb="3" eb="5">
      <t>ネジョウ</t>
    </rPh>
    <rPh sb="5" eb="7">
      <t>ババ</t>
    </rPh>
    <rPh sb="7" eb="8">
      <t>カシラ</t>
    </rPh>
    <phoneticPr fontId="4"/>
  </si>
  <si>
    <t>0178-73-1213</t>
    <phoneticPr fontId="4"/>
  </si>
  <si>
    <t>0178-43-6656</t>
    <phoneticPr fontId="4"/>
  </si>
  <si>
    <t>ｲ)ｼﾞﾝｼﾞｭｶｲ</t>
    <phoneticPr fontId="4"/>
  </si>
  <si>
    <t>yuukis</t>
    <phoneticPr fontId="4"/>
  </si>
  <si>
    <t>荘司琢郎</t>
    <rPh sb="0" eb="2">
      <t>ショウジ</t>
    </rPh>
    <rPh sb="2" eb="4">
      <t>タクロウ</t>
    </rPh>
    <phoneticPr fontId="4"/>
  </si>
  <si>
    <t>ｼｮｳｼﾞﾀｸﾛｳ</t>
    <phoneticPr fontId="4"/>
  </si>
  <si>
    <t>医療法人財団 MST会 青森スリー眼科</t>
    <rPh sb="0" eb="2">
      <t>イリョウ</t>
    </rPh>
    <rPh sb="2" eb="4">
      <t>ホウジン</t>
    </rPh>
    <rPh sb="4" eb="6">
      <t>ザイダン</t>
    </rPh>
    <rPh sb="10" eb="11">
      <t>カイ</t>
    </rPh>
    <rPh sb="12" eb="14">
      <t>アオモリ</t>
    </rPh>
    <rPh sb="17" eb="19">
      <t>ガンカ</t>
    </rPh>
    <phoneticPr fontId="4"/>
  </si>
  <si>
    <t>030-0801</t>
    <phoneticPr fontId="4"/>
  </si>
  <si>
    <t>青森市新町1丁目7-1　THREE4階</t>
    <rPh sb="0" eb="3">
      <t>アオモリシ</t>
    </rPh>
    <rPh sb="3" eb="5">
      <t>シンマチ</t>
    </rPh>
    <rPh sb="6" eb="8">
      <t>チョウメ</t>
    </rPh>
    <rPh sb="18" eb="19">
      <t>カイ</t>
    </rPh>
    <phoneticPr fontId="4"/>
  </si>
  <si>
    <t xml:space="preserve">017-764-6106 </t>
    <phoneticPr fontId="4"/>
  </si>
  <si>
    <t>039-1103</t>
    <phoneticPr fontId="4"/>
  </si>
  <si>
    <t>八戸市長苗代字上碇田3-8</t>
    <rPh sb="0" eb="3">
      <t>ハチノヘシ</t>
    </rPh>
    <rPh sb="3" eb="6">
      <t>ナガナワシロ</t>
    </rPh>
    <rPh sb="6" eb="7">
      <t>アザ</t>
    </rPh>
    <rPh sb="7" eb="8">
      <t>ウエ</t>
    </rPh>
    <rPh sb="8" eb="9">
      <t>イカリ</t>
    </rPh>
    <rPh sb="9" eb="10">
      <t>タ</t>
    </rPh>
    <phoneticPr fontId="24"/>
  </si>
  <si>
    <t>0178-80-7920</t>
    <phoneticPr fontId="4"/>
  </si>
  <si>
    <t>R5年4月に開業。埼玉県から転入。</t>
    <rPh sb="2" eb="3">
      <t>ネン</t>
    </rPh>
    <rPh sb="4" eb="5">
      <t>ガツ</t>
    </rPh>
    <rPh sb="6" eb="8">
      <t>カイギョウ</t>
    </rPh>
    <rPh sb="9" eb="12">
      <t>サイタマケン</t>
    </rPh>
    <rPh sb="14" eb="16">
      <t>テンニュウ</t>
    </rPh>
    <phoneticPr fontId="4"/>
  </si>
  <si>
    <t>takurous</t>
    <phoneticPr fontId="4"/>
  </si>
  <si>
    <t xml:space="preserve">荘司陽子         </t>
    <rPh sb="0" eb="2">
      <t>ショウジ</t>
    </rPh>
    <phoneticPr fontId="4"/>
  </si>
  <si>
    <t>ｼｮｳｼﾞﾖｳｺ</t>
    <phoneticPr fontId="4"/>
  </si>
  <si>
    <t>　</t>
    <phoneticPr fontId="4"/>
  </si>
  <si>
    <t>youko</t>
    <phoneticPr fontId="4"/>
  </si>
  <si>
    <t>r6nt5xy</t>
    <phoneticPr fontId="4"/>
  </si>
  <si>
    <t>白濵久美</t>
    <rPh sb="0" eb="2">
      <t>シラハマ</t>
    </rPh>
    <rPh sb="2" eb="4">
      <t>クミ</t>
    </rPh>
    <phoneticPr fontId="4"/>
  </si>
  <si>
    <t>ｼﾗﾊﾏ ｸﾐ</t>
    <phoneticPr fontId="4"/>
  </si>
  <si>
    <t>031-0845</t>
    <phoneticPr fontId="4"/>
  </si>
  <si>
    <t>八戸市城下4-17-2-305</t>
    <rPh sb="0" eb="3">
      <t>ハチノヘシ</t>
    </rPh>
    <rPh sb="3" eb="5">
      <t>シロシタ</t>
    </rPh>
    <phoneticPr fontId="4"/>
  </si>
  <si>
    <t>090-1694-5380</t>
    <phoneticPr fontId="4"/>
  </si>
  <si>
    <t>kumi</t>
    <phoneticPr fontId="4"/>
  </si>
  <si>
    <t>吹田淑子</t>
    <rPh sb="0" eb="2">
      <t>スイタ</t>
    </rPh>
    <rPh sb="2" eb="4">
      <t>ヨシコ</t>
    </rPh>
    <phoneticPr fontId="4"/>
  </si>
  <si>
    <t>ｽｲﾀ ﾖｼｺ</t>
    <phoneticPr fontId="4"/>
  </si>
  <si>
    <t>2000/5/</t>
    <phoneticPr fontId="4"/>
  </si>
  <si>
    <t>036-0846</t>
    <phoneticPr fontId="4"/>
  </si>
  <si>
    <t>弘前市北横町39</t>
    <rPh sb="0" eb="3">
      <t>ヒロサキシ</t>
    </rPh>
    <rPh sb="3" eb="4">
      <t>キタ</t>
    </rPh>
    <rPh sb="4" eb="6">
      <t>ヨコチョウ</t>
    </rPh>
    <phoneticPr fontId="4"/>
  </si>
  <si>
    <t>0172-36-0617</t>
    <phoneticPr fontId="4"/>
  </si>
  <si>
    <t>yoshiko</t>
    <phoneticPr fontId="4"/>
  </si>
  <si>
    <t xml:space="preserve">鈴木 香         </t>
    <phoneticPr fontId="4"/>
  </si>
  <si>
    <t>ｽｽﾞｷ ｶｵﾘ</t>
    <phoneticPr fontId="4"/>
  </si>
  <si>
    <t>はら眼科</t>
    <rPh sb="2" eb="4">
      <t>ガンカ</t>
    </rPh>
    <phoneticPr fontId="4"/>
  </si>
  <si>
    <t>037-0036</t>
    <phoneticPr fontId="4"/>
  </si>
  <si>
    <t>五所川原市中央1丁目40番地2</t>
    <rPh sb="0" eb="5">
      <t>ゴショガワラシ</t>
    </rPh>
    <rPh sb="5" eb="7">
      <t>チュウオウ</t>
    </rPh>
    <rPh sb="8" eb="10">
      <t>チョウメ</t>
    </rPh>
    <rPh sb="12" eb="14">
      <t>バンチ</t>
    </rPh>
    <phoneticPr fontId="4"/>
  </si>
  <si>
    <t>0173-26-7171</t>
    <phoneticPr fontId="4"/>
  </si>
  <si>
    <t>036-8025</t>
    <phoneticPr fontId="4"/>
  </si>
  <si>
    <t>弘前市南柳町1-2</t>
    <rPh sb="3" eb="4">
      <t>ミナミ</t>
    </rPh>
    <rPh sb="4" eb="6">
      <t>ヤナギマチ</t>
    </rPh>
    <phoneticPr fontId="4"/>
  </si>
  <si>
    <t>090-1061-5113</t>
    <phoneticPr fontId="4"/>
  </si>
  <si>
    <t>kaori</t>
    <phoneticPr fontId="4"/>
  </si>
  <si>
    <t>suzuki6205</t>
    <phoneticPr fontId="4"/>
  </si>
  <si>
    <t xml:space="preserve">鈴木幸彦       </t>
    <phoneticPr fontId="4"/>
  </si>
  <si>
    <t>弘前市茂森新町３－１３－２　スカイハイツ２０１</t>
    <phoneticPr fontId="4"/>
  </si>
  <si>
    <t>yukihiko</t>
    <phoneticPr fontId="4"/>
  </si>
  <si>
    <t xml:space="preserve">関野尹夫   </t>
    <phoneticPr fontId="4"/>
  </si>
  <si>
    <t>ｾｷﾉ ﾀﾀﾞｵ</t>
    <phoneticPr fontId="4"/>
  </si>
  <si>
    <t>034-0089</t>
    <phoneticPr fontId="4"/>
  </si>
  <si>
    <t>tadao</t>
    <phoneticPr fontId="4"/>
  </si>
  <si>
    <t>f29mqtr7</t>
    <phoneticPr fontId="4"/>
  </si>
  <si>
    <t>た</t>
    <phoneticPr fontId="4"/>
  </si>
  <si>
    <t>高橋佳二</t>
    <rPh sb="0" eb="2">
      <t>タカハシ</t>
    </rPh>
    <rPh sb="2" eb="4">
      <t>ヨシジ</t>
    </rPh>
    <phoneticPr fontId="4"/>
  </si>
  <si>
    <t>ﾀｶﾊｼ ｹｲｼﾞ</t>
    <phoneticPr fontId="4"/>
  </si>
  <si>
    <t>青森市堤町２－１－２６</t>
    <phoneticPr fontId="4"/>
  </si>
  <si>
    <t>keiji</t>
    <phoneticPr fontId="4"/>
  </si>
  <si>
    <t>c9mfd3</t>
    <phoneticPr fontId="4"/>
  </si>
  <si>
    <t xml:space="preserve">高橋大介         </t>
    <rPh sb="0" eb="2">
      <t>タカハシ</t>
    </rPh>
    <phoneticPr fontId="4"/>
  </si>
  <si>
    <t>takahashi-ganka@nifty.com</t>
    <phoneticPr fontId="24"/>
  </si>
  <si>
    <t>daisuke</t>
    <phoneticPr fontId="4"/>
  </si>
  <si>
    <t>5y2w3nd</t>
    <phoneticPr fontId="4"/>
  </si>
  <si>
    <t xml:space="preserve">高橋奈美子        </t>
    <rPh sb="0" eb="2">
      <t>タカハシ</t>
    </rPh>
    <phoneticPr fontId="4"/>
  </si>
  <si>
    <t>ﾀｶﾊｼ ﾅﾐｺ</t>
    <phoneticPr fontId="4"/>
  </si>
  <si>
    <t>八戸市馬場町２</t>
    <phoneticPr fontId="4"/>
  </si>
  <si>
    <t>0178-22-3462</t>
    <phoneticPr fontId="4"/>
  </si>
  <si>
    <t>namitaka@f2.dion.ne.jp</t>
    <phoneticPr fontId="4"/>
  </si>
  <si>
    <t>namiko</t>
    <phoneticPr fontId="4"/>
  </si>
  <si>
    <t>2m7fr68n</t>
    <phoneticPr fontId="4"/>
  </si>
  <si>
    <t xml:space="preserve">高橋后幸         </t>
    <phoneticPr fontId="4"/>
  </si>
  <si>
    <t>miyuki</t>
    <phoneticPr fontId="4"/>
  </si>
  <si>
    <t xml:space="preserve">竹内侯雄        </t>
    <phoneticPr fontId="4"/>
  </si>
  <si>
    <t>050-3444-8481</t>
    <phoneticPr fontId="4"/>
  </si>
  <si>
    <t>kimio</t>
    <phoneticPr fontId="4"/>
  </si>
  <si>
    <t>d7855sf</t>
    <phoneticPr fontId="4"/>
  </si>
  <si>
    <t>田名部甫真</t>
    <rPh sb="0" eb="3">
      <t>タナブ</t>
    </rPh>
    <rPh sb="3" eb="4">
      <t>ホ</t>
    </rPh>
    <rPh sb="4" eb="5">
      <t>シン</t>
    </rPh>
    <phoneticPr fontId="4"/>
  </si>
  <si>
    <t>ﾀﾅﾌﾞ　ﾉﾘﾐﾁ</t>
    <phoneticPr fontId="4"/>
  </si>
  <si>
    <t>十和田市立中央病院　眼科</t>
    <rPh sb="0" eb="5">
      <t>トワダシリツ</t>
    </rPh>
    <rPh sb="5" eb="9">
      <t>チュウオウビョウイン</t>
    </rPh>
    <rPh sb="10" eb="12">
      <t>ガンカ</t>
    </rPh>
    <phoneticPr fontId="4"/>
  </si>
  <si>
    <t>青森県十和田市西十二番丁14番8号</t>
    <rPh sb="0" eb="3">
      <t>アオモリケン</t>
    </rPh>
    <rPh sb="3" eb="7">
      <t>トワダシ</t>
    </rPh>
    <rPh sb="7" eb="8">
      <t>ニシ</t>
    </rPh>
    <rPh sb="8" eb="12">
      <t>ジュウニバンチョウ</t>
    </rPh>
    <rPh sb="14" eb="15">
      <t>バン</t>
    </rPh>
    <rPh sb="16" eb="17">
      <t>ゴウ</t>
    </rPh>
    <phoneticPr fontId="4"/>
  </si>
  <si>
    <t>034-0081</t>
    <phoneticPr fontId="4"/>
  </si>
  <si>
    <t>青森県十和田市西十三番町25番2号　さくらレジデンス301号</t>
    <rPh sb="0" eb="3">
      <t>アオモリケン</t>
    </rPh>
    <rPh sb="3" eb="7">
      <t>トワダシ</t>
    </rPh>
    <rPh sb="7" eb="12">
      <t>ニシジュウサンバンチョウ</t>
    </rPh>
    <rPh sb="14" eb="15">
      <t>バン</t>
    </rPh>
    <rPh sb="16" eb="17">
      <t>ゴウ</t>
    </rPh>
    <rPh sb="29" eb="30">
      <t>ゴウ</t>
    </rPh>
    <phoneticPr fontId="4"/>
  </si>
  <si>
    <t>090-3363-1467</t>
    <phoneticPr fontId="4"/>
  </si>
  <si>
    <t>tanab.b.med.0630@gmail.com</t>
    <phoneticPr fontId="4"/>
  </si>
  <si>
    <t>norimichi</t>
    <phoneticPr fontId="4"/>
  </si>
  <si>
    <t>fW9wpX</t>
    <phoneticPr fontId="4"/>
  </si>
  <si>
    <t xml:space="preserve">田村正人        </t>
    <phoneticPr fontId="4"/>
  </si>
  <si>
    <t>R6年3月AからBへ、医院を閉院</t>
    <rPh sb="2" eb="3">
      <t>ネン</t>
    </rPh>
    <rPh sb="4" eb="5">
      <t>ガツ</t>
    </rPh>
    <rPh sb="11" eb="13">
      <t>イイン</t>
    </rPh>
    <rPh sb="14" eb="16">
      <t>ヘイイン</t>
    </rPh>
    <phoneticPr fontId="4"/>
  </si>
  <si>
    <t>masato</t>
    <phoneticPr fontId="4"/>
  </si>
  <si>
    <t>gankadr</t>
    <phoneticPr fontId="4"/>
  </si>
  <si>
    <t>丹藤利夫</t>
    <rPh sb="0" eb="2">
      <t>タンドウ</t>
    </rPh>
    <rPh sb="2" eb="4">
      <t>トシオ</t>
    </rPh>
    <phoneticPr fontId="4"/>
  </si>
  <si>
    <t>ﾀﾝﾄﾞｳ ﾄｼｵ</t>
    <phoneticPr fontId="4"/>
  </si>
  <si>
    <t>弘前大学医学部　眼科学講座</t>
    <rPh sb="4" eb="6">
      <t>イガク</t>
    </rPh>
    <rPh sb="6" eb="7">
      <t>ブ</t>
    </rPh>
    <rPh sb="10" eb="11">
      <t>ガク</t>
    </rPh>
    <rPh sb="11" eb="13">
      <t>コウザ</t>
    </rPh>
    <phoneticPr fontId="4"/>
  </si>
  <si>
    <t>弘前市在府町15　シティプラザ在府町203号室</t>
    <rPh sb="0" eb="3">
      <t>ヒロサキシ</t>
    </rPh>
    <rPh sb="3" eb="6">
      <t>ザイフチョウ</t>
    </rPh>
    <rPh sb="15" eb="18">
      <t>ザイフチョウ</t>
    </rPh>
    <rPh sb="21" eb="23">
      <t>ゴウシツ</t>
    </rPh>
    <phoneticPr fontId="4"/>
  </si>
  <si>
    <t>090-6701-0077</t>
    <phoneticPr fontId="4"/>
  </si>
  <si>
    <t>toshiot</t>
    <phoneticPr fontId="4"/>
  </si>
  <si>
    <t>Yjx7e56v</t>
    <phoneticPr fontId="4"/>
  </si>
  <si>
    <t xml:space="preserve">對馬敬子  </t>
    <phoneticPr fontId="4"/>
  </si>
  <si>
    <t>D</t>
    <phoneticPr fontId="4"/>
  </si>
  <si>
    <t>日本眼科医会を退会するも青森県眼科医会にD会員として継続</t>
    <rPh sb="0" eb="6">
      <t>ニホンガンカイカイ</t>
    </rPh>
    <rPh sb="7" eb="9">
      <t>タイカイ</t>
    </rPh>
    <rPh sb="12" eb="19">
      <t>アオモリケンガンカイカイ</t>
    </rPh>
    <rPh sb="21" eb="23">
      <t>カイイン</t>
    </rPh>
    <rPh sb="26" eb="28">
      <t>ケイゾク</t>
    </rPh>
    <phoneticPr fontId="4"/>
  </si>
  <si>
    <t>keikot</t>
    <phoneticPr fontId="4"/>
  </si>
  <si>
    <t>k52u7fy4</t>
    <phoneticPr fontId="4"/>
  </si>
  <si>
    <t xml:space="preserve">角田冠奈        </t>
    <phoneticPr fontId="4"/>
  </si>
  <si>
    <t>ＥＳＴクリニック 眼科</t>
    <rPh sb="9" eb="11">
      <t>ガンカ</t>
    </rPh>
    <phoneticPr fontId="4"/>
  </si>
  <si>
    <t>kanna</t>
    <phoneticPr fontId="4"/>
  </si>
  <si>
    <t>な</t>
    <phoneticPr fontId="4"/>
  </si>
  <si>
    <t xml:space="preserve">中野美奈         </t>
    <phoneticPr fontId="4"/>
  </si>
  <si>
    <t>八戸市新井田西３－１９－２　アイランドコート２０１</t>
    <phoneticPr fontId="4"/>
  </si>
  <si>
    <t xml:space="preserve">mina </t>
    <phoneticPr fontId="4"/>
  </si>
  <si>
    <t>skiing</t>
    <phoneticPr fontId="4"/>
  </si>
  <si>
    <t xml:space="preserve">中村秀雄         </t>
    <phoneticPr fontId="4"/>
  </si>
  <si>
    <t>青森市民病院　眼科</t>
    <rPh sb="0" eb="2">
      <t>アオモリ</t>
    </rPh>
    <rPh sb="2" eb="4">
      <t>シミン</t>
    </rPh>
    <rPh sb="4" eb="6">
      <t>ビョウイン</t>
    </rPh>
    <rPh sb="7" eb="9">
      <t>ガンカ</t>
    </rPh>
    <phoneticPr fontId="4"/>
  </si>
  <si>
    <t>030-0821</t>
    <phoneticPr fontId="4"/>
  </si>
  <si>
    <t>青森市勝田1-14-20</t>
    <rPh sb="0" eb="3">
      <t>アオモリシ</t>
    </rPh>
    <rPh sb="3" eb="5">
      <t>カツタ</t>
    </rPh>
    <phoneticPr fontId="4"/>
  </si>
  <si>
    <t>0177-34-2171</t>
    <phoneticPr fontId="4"/>
  </si>
  <si>
    <t>030-0813</t>
    <phoneticPr fontId="4"/>
  </si>
  <si>
    <t>青森市松原2丁目9番1号　松原マンション２－Ｄ</t>
    <rPh sb="0" eb="3">
      <t>アオモリシ</t>
    </rPh>
    <rPh sb="3" eb="5">
      <t>マツバラ</t>
    </rPh>
    <rPh sb="6" eb="8">
      <t>チョウメ</t>
    </rPh>
    <rPh sb="9" eb="10">
      <t>バン</t>
    </rPh>
    <rPh sb="11" eb="12">
      <t>ゴウ</t>
    </rPh>
    <rPh sb="13" eb="15">
      <t>マツバラ</t>
    </rPh>
    <phoneticPr fontId="4"/>
  </si>
  <si>
    <t>090-3644-2588</t>
    <phoneticPr fontId="4"/>
  </si>
  <si>
    <t>hideo</t>
    <phoneticPr fontId="4"/>
  </si>
  <si>
    <t>thankyou</t>
    <phoneticPr fontId="4"/>
  </si>
  <si>
    <t xml:space="preserve">中村秀世         </t>
    <phoneticPr fontId="4"/>
  </si>
  <si>
    <t>むつ市横迎町２－１－９</t>
    <phoneticPr fontId="4"/>
  </si>
  <si>
    <t>035-0033</t>
    <phoneticPr fontId="4"/>
  </si>
  <si>
    <t>0175-22-2512</t>
    <phoneticPr fontId="4"/>
  </si>
  <si>
    <t>hideyo</t>
    <phoneticPr fontId="4"/>
  </si>
  <si>
    <t>奈良馨</t>
    <rPh sb="0" eb="2">
      <t>ナラ</t>
    </rPh>
    <rPh sb="2" eb="3">
      <t>カオル</t>
    </rPh>
    <phoneticPr fontId="4"/>
  </si>
  <si>
    <t>ﾅﾗ　ｶｵﾙ</t>
    <phoneticPr fontId="4"/>
  </si>
  <si>
    <t>弘前大学医学部附属病院　眼科</t>
    <rPh sb="4" eb="6">
      <t>イガク</t>
    </rPh>
    <rPh sb="6" eb="7">
      <t>ブ</t>
    </rPh>
    <rPh sb="7" eb="9">
      <t>フゾク</t>
    </rPh>
    <rPh sb="9" eb="11">
      <t>ビョウイン</t>
    </rPh>
    <phoneticPr fontId="4"/>
  </si>
  <si>
    <t>弘前市本町53</t>
    <rPh sb="0" eb="3">
      <t>ヒロサキシ</t>
    </rPh>
    <rPh sb="3" eb="5">
      <t>ホンチョウ</t>
    </rPh>
    <phoneticPr fontId="4"/>
  </si>
  <si>
    <t>036-8172</t>
    <phoneticPr fontId="4"/>
  </si>
  <si>
    <t>弘前市南富田町２２－６ポルトボヌール南富田１０１号室</t>
    <rPh sb="0" eb="3">
      <t>ヒロサキシ</t>
    </rPh>
    <rPh sb="3" eb="4">
      <t>ミナミ</t>
    </rPh>
    <rPh sb="4" eb="7">
      <t>トミタチョウ</t>
    </rPh>
    <rPh sb="18" eb="19">
      <t>ミナミ</t>
    </rPh>
    <rPh sb="19" eb="21">
      <t>トミタ</t>
    </rPh>
    <rPh sb="24" eb="25">
      <t>ゴウ</t>
    </rPh>
    <rPh sb="25" eb="26">
      <t>シツ</t>
    </rPh>
    <phoneticPr fontId="4"/>
  </si>
  <si>
    <t>090-7931-0382</t>
    <phoneticPr fontId="4"/>
  </si>
  <si>
    <t>kaoru</t>
    <phoneticPr fontId="4"/>
  </si>
  <si>
    <t xml:space="preserve">成田清美         </t>
    <phoneticPr fontId="4"/>
  </si>
  <si>
    <t>成田眼科クリニック</t>
    <phoneticPr fontId="4"/>
  </si>
  <si>
    <t>036-8205</t>
    <phoneticPr fontId="4"/>
  </si>
  <si>
    <t>0172-35-5155</t>
    <phoneticPr fontId="4"/>
  </si>
  <si>
    <t>kiyoharu</t>
    <phoneticPr fontId="4"/>
  </si>
  <si>
    <t>kidukuri0221</t>
    <phoneticPr fontId="4"/>
  </si>
  <si>
    <t>鳴海友洋</t>
    <rPh sb="0" eb="2">
      <t>ナルミ</t>
    </rPh>
    <rPh sb="2" eb="3">
      <t>トモ</t>
    </rPh>
    <rPh sb="3" eb="4">
      <t>ヒロ</t>
    </rPh>
    <phoneticPr fontId="4"/>
  </si>
  <si>
    <t>ﾅﾙﾐ　ﾄﾓﾋﾛ</t>
    <phoneticPr fontId="4"/>
  </si>
  <si>
    <t>036-8211</t>
    <phoneticPr fontId="4"/>
  </si>
  <si>
    <t>青森県弘前市相良町3-1　ルグラン相良町201</t>
    <rPh sb="0" eb="3">
      <t>アオモリケン</t>
    </rPh>
    <rPh sb="3" eb="6">
      <t>ヒロサキシ</t>
    </rPh>
    <rPh sb="6" eb="9">
      <t>サガラチョウ</t>
    </rPh>
    <rPh sb="17" eb="20">
      <t>サガラチョウ</t>
    </rPh>
    <phoneticPr fontId="4"/>
  </si>
  <si>
    <t>080-9177-5635</t>
    <phoneticPr fontId="4"/>
  </si>
  <si>
    <t>tomohiro</t>
    <phoneticPr fontId="4"/>
  </si>
  <si>
    <t xml:space="preserve">沼田紘子       </t>
    <phoneticPr fontId="4"/>
  </si>
  <si>
    <t>青森市花園町１－8－4</t>
    <phoneticPr fontId="4"/>
  </si>
  <si>
    <t>hirokon</t>
    <phoneticPr fontId="4"/>
  </si>
  <si>
    <t>numata0592</t>
    <phoneticPr fontId="4"/>
  </si>
  <si>
    <t xml:space="preserve">野田康子         </t>
    <phoneticPr fontId="4"/>
  </si>
  <si>
    <t>のだ眼科・血管内科クリニック</t>
    <rPh sb="5" eb="9">
      <t>ケッカンナイカ</t>
    </rPh>
    <phoneticPr fontId="4"/>
  </si>
  <si>
    <t>036-8061</t>
    <phoneticPr fontId="4"/>
  </si>
  <si>
    <t>弘前市神田３－２－１１</t>
    <rPh sb="3" eb="5">
      <t>カンダ</t>
    </rPh>
    <phoneticPr fontId="4"/>
  </si>
  <si>
    <t>0172-33-6611</t>
    <phoneticPr fontId="4"/>
  </si>
  <si>
    <t>036-8228</t>
    <phoneticPr fontId="4"/>
  </si>
  <si>
    <t>弘前市樹木１－２０－３</t>
    <phoneticPr fontId="4"/>
  </si>
  <si>
    <t>yasukon</t>
    <phoneticPr fontId="4"/>
  </si>
  <si>
    <t>fuyumayu</t>
    <phoneticPr fontId="4"/>
  </si>
  <si>
    <t>野月徳実</t>
    <rPh sb="0" eb="2">
      <t>ノヅキ</t>
    </rPh>
    <rPh sb="2" eb="3">
      <t>トク</t>
    </rPh>
    <rPh sb="3" eb="4">
      <t>ミ</t>
    </rPh>
    <phoneticPr fontId="4"/>
  </si>
  <si>
    <t>ﾉﾂﾞｷ ﾅﾙﾐ</t>
    <phoneticPr fontId="4"/>
  </si>
  <si>
    <t>青森県立中央病院 眼科</t>
    <phoneticPr fontId="4"/>
  </si>
  <si>
    <t>弘前市在府町１３番地アーバンサイトB-102</t>
    <rPh sb="8" eb="10">
      <t>バンチ</t>
    </rPh>
    <phoneticPr fontId="4"/>
  </si>
  <si>
    <t>080-6056-8361</t>
    <phoneticPr fontId="4"/>
  </si>
  <si>
    <t>narumi</t>
    <phoneticPr fontId="4"/>
  </si>
  <si>
    <t>は</t>
    <phoneticPr fontId="4"/>
  </si>
  <si>
    <t xml:space="preserve">波紫秀厚       </t>
    <phoneticPr fontId="4"/>
  </si>
  <si>
    <t>十和田市東四番町９－７</t>
    <phoneticPr fontId="4"/>
  </si>
  <si>
    <t>hideatsu</t>
    <phoneticPr fontId="4"/>
  </si>
  <si>
    <t>prostaglandine</t>
    <phoneticPr fontId="4"/>
  </si>
  <si>
    <t>濱端久仁子</t>
    <rPh sb="0" eb="2">
      <t>ハマバタ</t>
    </rPh>
    <rPh sb="2" eb="5">
      <t>クニコ</t>
    </rPh>
    <phoneticPr fontId="4"/>
  </si>
  <si>
    <t>ﾊﾏﾊﾞﾀ ｸﾆｺ</t>
    <phoneticPr fontId="4"/>
  </si>
  <si>
    <t>医）仁久　白山台くに眼科</t>
    <rPh sb="0" eb="1">
      <t>イ</t>
    </rPh>
    <rPh sb="2" eb="3">
      <t>ジン</t>
    </rPh>
    <rPh sb="3" eb="4">
      <t>ヒサシ</t>
    </rPh>
    <rPh sb="5" eb="8">
      <t>ハクサンダイ</t>
    </rPh>
    <rPh sb="10" eb="12">
      <t>ガンカ</t>
    </rPh>
    <phoneticPr fontId="4"/>
  </si>
  <si>
    <t>八戸市東白山台２－３４－１６</t>
    <rPh sb="0" eb="3">
      <t>ハチノヘシ</t>
    </rPh>
    <rPh sb="3" eb="4">
      <t>ヒガシ</t>
    </rPh>
    <rPh sb="4" eb="7">
      <t>ハクサンダイ</t>
    </rPh>
    <phoneticPr fontId="4"/>
  </si>
  <si>
    <t>0178-51-9251</t>
    <phoneticPr fontId="4"/>
  </si>
  <si>
    <t>020-0633</t>
    <phoneticPr fontId="4"/>
  </si>
  <si>
    <t>岩手県滝沢市穴口３０５－１４</t>
    <rPh sb="0" eb="3">
      <t>イワテケン</t>
    </rPh>
    <rPh sb="3" eb="5">
      <t>タキサワ</t>
    </rPh>
    <rPh sb="5" eb="6">
      <t>シ</t>
    </rPh>
    <rPh sb="6" eb="7">
      <t>アナ</t>
    </rPh>
    <rPh sb="7" eb="8">
      <t>クチ</t>
    </rPh>
    <phoneticPr fontId="4"/>
  </si>
  <si>
    <t>kuniko</t>
    <phoneticPr fontId="4"/>
  </si>
  <si>
    <t>原 藍子</t>
    <rPh sb="0" eb="1">
      <t>ハラ</t>
    </rPh>
    <rPh sb="2" eb="4">
      <t>アイコ</t>
    </rPh>
    <phoneticPr fontId="4"/>
  </si>
  <si>
    <t>ﾊﾗ ｱｲｺ</t>
    <phoneticPr fontId="4"/>
  </si>
  <si>
    <t>弘前大学医学部　眼科</t>
    <rPh sb="4" eb="6">
      <t>イガク</t>
    </rPh>
    <rPh sb="6" eb="7">
      <t>ブ</t>
    </rPh>
    <phoneticPr fontId="4"/>
  </si>
  <si>
    <t>青森市奥野3丁目2-5 エバーグリーン桜川302号</t>
    <rPh sb="0" eb="3">
      <t>アオモリシ</t>
    </rPh>
    <rPh sb="3" eb="5">
      <t>オクノ</t>
    </rPh>
    <rPh sb="6" eb="8">
      <t>チョウメ</t>
    </rPh>
    <rPh sb="19" eb="21">
      <t>サクラカワ</t>
    </rPh>
    <rPh sb="24" eb="25">
      <t>ゴウ</t>
    </rPh>
    <phoneticPr fontId="4"/>
  </si>
  <si>
    <t>090-2797-2891</t>
    <phoneticPr fontId="4"/>
  </si>
  <si>
    <t>aikoh</t>
    <phoneticPr fontId="4"/>
  </si>
  <si>
    <t>y5kf24</t>
    <phoneticPr fontId="4"/>
  </si>
  <si>
    <t>原　将馬</t>
    <rPh sb="0" eb="1">
      <t>ハラ</t>
    </rPh>
    <rPh sb="2" eb="3">
      <t>マサル</t>
    </rPh>
    <rPh sb="3" eb="4">
      <t>ウマ</t>
    </rPh>
    <phoneticPr fontId="4"/>
  </si>
  <si>
    <t>ﾊﾗ　ｼｮｳﾏ</t>
    <phoneticPr fontId="4"/>
  </si>
  <si>
    <t>弘前大学医学部附属病院</t>
    <rPh sb="4" eb="6">
      <t>イガク</t>
    </rPh>
    <rPh sb="6" eb="7">
      <t>ブ</t>
    </rPh>
    <rPh sb="7" eb="11">
      <t>フゾクビョウイン</t>
    </rPh>
    <phoneticPr fontId="4"/>
  </si>
  <si>
    <t>弘前市本町53</t>
    <rPh sb="3" eb="5">
      <t>ホンチョウ</t>
    </rPh>
    <phoneticPr fontId="4"/>
  </si>
  <si>
    <t>036-8173</t>
    <phoneticPr fontId="4"/>
  </si>
  <si>
    <t>弘前市富田町86ﾎﾞﾀｰﾙﾋﾛ101号</t>
    <rPh sb="0" eb="3">
      <t>ヒロサキシ</t>
    </rPh>
    <rPh sb="3" eb="6">
      <t>トミタチョウ</t>
    </rPh>
    <rPh sb="18" eb="19">
      <t>ゴウ</t>
    </rPh>
    <phoneticPr fontId="4"/>
  </si>
  <si>
    <t>080-2814-8841</t>
    <phoneticPr fontId="4"/>
  </si>
  <si>
    <t>shoma</t>
    <phoneticPr fontId="4"/>
  </si>
  <si>
    <t>cL64JQ</t>
    <phoneticPr fontId="4"/>
  </si>
  <si>
    <t xml:space="preserve">原 信哉        </t>
    <phoneticPr fontId="4"/>
  </si>
  <si>
    <t>医療法人アンドアイ　はら眼科</t>
    <rPh sb="0" eb="4">
      <t>イリョウホウジン</t>
    </rPh>
    <rPh sb="12" eb="14">
      <t>ガンカ</t>
    </rPh>
    <phoneticPr fontId="4"/>
  </si>
  <si>
    <t>037-0016</t>
    <phoneticPr fontId="4"/>
  </si>
  <si>
    <t>五所川原市一ッ谷509-10</t>
    <rPh sb="0" eb="5">
      <t>ゴショガワラシ</t>
    </rPh>
    <rPh sb="5" eb="6">
      <t>イチ</t>
    </rPh>
    <rPh sb="7" eb="8">
      <t>ヤ</t>
    </rPh>
    <phoneticPr fontId="4"/>
  </si>
  <si>
    <t>0173-26-7105</t>
    <phoneticPr fontId="4"/>
  </si>
  <si>
    <t>shinya</t>
    <phoneticPr fontId="4"/>
  </si>
  <si>
    <t>waseda1134</t>
    <phoneticPr fontId="4"/>
  </si>
  <si>
    <t xml:space="preserve">原田幸子         </t>
    <phoneticPr fontId="4"/>
  </si>
  <si>
    <t>sachikoh</t>
    <phoneticPr fontId="4"/>
  </si>
  <si>
    <t xml:space="preserve">福士和夫     </t>
    <phoneticPr fontId="4"/>
  </si>
  <si>
    <t>kazuo</t>
    <phoneticPr fontId="4"/>
  </si>
  <si>
    <t>0380013</t>
    <phoneticPr fontId="4"/>
  </si>
  <si>
    <t xml:space="preserve">福田　敦     </t>
    <phoneticPr fontId="4"/>
  </si>
  <si>
    <t>医）明央会　福田眼科医院</t>
    <rPh sb="0" eb="1">
      <t>イ</t>
    </rPh>
    <rPh sb="2" eb="4">
      <t>アキオ</t>
    </rPh>
    <rPh sb="4" eb="5">
      <t>カイ</t>
    </rPh>
    <rPh sb="6" eb="8">
      <t>フクダ</t>
    </rPh>
    <phoneticPr fontId="4"/>
  </si>
  <si>
    <t>上北郡六戸町大字犬落瀬字堀切沢５９－１０７</t>
    <phoneticPr fontId="4"/>
  </si>
  <si>
    <t>三沢市中央町３－２－１６</t>
    <phoneticPr fontId="4"/>
  </si>
  <si>
    <t>0176-53-2630</t>
    <phoneticPr fontId="4"/>
  </si>
  <si>
    <t>atsushi</t>
    <phoneticPr fontId="4"/>
  </si>
  <si>
    <t>42c359k</t>
    <phoneticPr fontId="4"/>
  </si>
  <si>
    <t>藤林照太郎</t>
    <rPh sb="0" eb="5">
      <t>フジバヤシショウタロウ</t>
    </rPh>
    <phoneticPr fontId="4"/>
  </si>
  <si>
    <t>ﾌｼﾞﾊﾞﾔｼ　ｼｮｳﾀﾛｳ</t>
    <phoneticPr fontId="4"/>
  </si>
  <si>
    <t>036-8222</t>
    <phoneticPr fontId="4"/>
  </si>
  <si>
    <t>弘前市桜林町8-4プリメゾングランデュール203号室</t>
    <rPh sb="0" eb="3">
      <t>ヒロサキシ</t>
    </rPh>
    <rPh sb="3" eb="5">
      <t>サクラバヤシ</t>
    </rPh>
    <rPh sb="5" eb="6">
      <t>マチ</t>
    </rPh>
    <rPh sb="24" eb="26">
      <t>ゴウシツ</t>
    </rPh>
    <phoneticPr fontId="4"/>
  </si>
  <si>
    <t>090-9424-5626</t>
    <phoneticPr fontId="4"/>
  </si>
  <si>
    <t>shotaro</t>
    <phoneticPr fontId="4"/>
  </si>
  <si>
    <t>rV9gzK</t>
    <phoneticPr fontId="4"/>
  </si>
  <si>
    <t xml:space="preserve">細川隆史        </t>
    <phoneticPr fontId="4"/>
  </si>
  <si>
    <t>十和田眼科クリニック</t>
    <phoneticPr fontId="4"/>
  </si>
  <si>
    <t>十和田市稲生町２２－１７</t>
    <phoneticPr fontId="4"/>
  </si>
  <si>
    <t>takafumi</t>
    <phoneticPr fontId="4"/>
  </si>
  <si>
    <t>z5mtysc</t>
    <phoneticPr fontId="4"/>
  </si>
  <si>
    <t>ま</t>
    <phoneticPr fontId="4"/>
  </si>
  <si>
    <t>前田奈津姫</t>
    <rPh sb="0" eb="2">
      <t>マエダ</t>
    </rPh>
    <rPh sb="2" eb="4">
      <t>ナツ</t>
    </rPh>
    <rPh sb="4" eb="5">
      <t>ヒメ</t>
    </rPh>
    <phoneticPr fontId="4"/>
  </si>
  <si>
    <t>ﾏｴﾀﾞ ﾅﾂｷ</t>
    <phoneticPr fontId="4"/>
  </si>
  <si>
    <t>036-8261</t>
    <phoneticPr fontId="4"/>
  </si>
  <si>
    <t>弘前市茂森新町1丁目15-1 ｻﾝｳﾞｪｰﾙ205</t>
    <rPh sb="0" eb="3">
      <t>ヒロサキシ</t>
    </rPh>
    <rPh sb="3" eb="5">
      <t>シゲモリ</t>
    </rPh>
    <rPh sb="5" eb="7">
      <t>シンマチ</t>
    </rPh>
    <rPh sb="8" eb="10">
      <t>チョウメ</t>
    </rPh>
    <phoneticPr fontId="4"/>
  </si>
  <si>
    <t>090-2794-9056</t>
    <phoneticPr fontId="4"/>
  </si>
  <si>
    <t>natsuki</t>
    <phoneticPr fontId="4"/>
  </si>
  <si>
    <t>tachineputa</t>
    <phoneticPr fontId="4"/>
  </si>
  <si>
    <t xml:space="preserve">蒔苗順義         </t>
    <phoneticPr fontId="4"/>
  </si>
  <si>
    <t>弘前市上鞘師町１１－１　マック弘前コート８０９</t>
    <phoneticPr fontId="4"/>
  </si>
  <si>
    <t>nobuyoshi</t>
    <phoneticPr fontId="4"/>
  </si>
  <si>
    <t>makanai0119</t>
    <phoneticPr fontId="4"/>
  </si>
  <si>
    <t xml:space="preserve">松橋英昭         </t>
    <phoneticPr fontId="4"/>
  </si>
  <si>
    <t>理事・会長</t>
    <rPh sb="0" eb="2">
      <t>リジ</t>
    </rPh>
    <rPh sb="3" eb="5">
      <t>カイチョウ</t>
    </rPh>
    <phoneticPr fontId="4"/>
  </si>
  <si>
    <t>hideaki</t>
    <phoneticPr fontId="4"/>
  </si>
  <si>
    <t>wq8vmn5u</t>
    <phoneticPr fontId="4"/>
  </si>
  <si>
    <t xml:space="preserve">松本光生         </t>
    <phoneticPr fontId="4"/>
  </si>
  <si>
    <t>mitsuo</t>
    <phoneticPr fontId="4"/>
  </si>
  <si>
    <t>3usdkzw</t>
    <phoneticPr fontId="4"/>
  </si>
  <si>
    <t xml:space="preserve">三上克代         </t>
    <phoneticPr fontId="4"/>
  </si>
  <si>
    <t>復明堂眼科医院</t>
    <rPh sb="0" eb="1">
      <t>フク</t>
    </rPh>
    <rPh sb="1" eb="2">
      <t>メイ</t>
    </rPh>
    <rPh sb="2" eb="3">
      <t>ドウ</t>
    </rPh>
    <rPh sb="3" eb="5">
      <t>ガンカ</t>
    </rPh>
    <rPh sb="5" eb="7">
      <t>イイン</t>
    </rPh>
    <phoneticPr fontId="4"/>
  </si>
  <si>
    <t>katsuyo</t>
    <phoneticPr fontId="4"/>
  </si>
  <si>
    <t>4kwh7er</t>
    <phoneticPr fontId="4"/>
  </si>
  <si>
    <t xml:space="preserve">三上恵一         </t>
    <phoneticPr fontId="4"/>
  </si>
  <si>
    <t>keiichi</t>
    <phoneticPr fontId="4"/>
  </si>
  <si>
    <t>shinmachi255858</t>
    <phoneticPr fontId="4"/>
  </si>
  <si>
    <t xml:space="preserve">三上 規         </t>
    <phoneticPr fontId="4"/>
  </si>
  <si>
    <t>tadashim</t>
    <phoneticPr fontId="4"/>
  </si>
  <si>
    <t xml:space="preserve">水谷夏子         </t>
    <phoneticPr fontId="4"/>
  </si>
  <si>
    <t>青森市東大野１－４－１</t>
    <phoneticPr fontId="4"/>
  </si>
  <si>
    <t>natsukom</t>
    <phoneticPr fontId="4"/>
  </si>
  <si>
    <t>ryuunosuke</t>
    <phoneticPr fontId="4"/>
  </si>
  <si>
    <t xml:space="preserve">水谷英之         </t>
    <phoneticPr fontId="4"/>
  </si>
  <si>
    <t>なし</t>
    <phoneticPr fontId="4"/>
  </si>
  <si>
    <t>miz@mizutani-ganka.jp</t>
    <phoneticPr fontId="24"/>
  </si>
  <si>
    <t>hideyuki</t>
    <phoneticPr fontId="4"/>
  </si>
  <si>
    <t>syuntaro</t>
    <phoneticPr fontId="4"/>
  </si>
  <si>
    <t xml:space="preserve">宮川靖博       </t>
    <phoneticPr fontId="4"/>
  </si>
  <si>
    <t>浜田みやかわ眼科</t>
    <rPh sb="0" eb="2">
      <t>ハマダ</t>
    </rPh>
    <rPh sb="6" eb="8">
      <t>ガンカ</t>
    </rPh>
    <phoneticPr fontId="4"/>
  </si>
  <si>
    <t>030-0843</t>
    <phoneticPr fontId="4"/>
  </si>
  <si>
    <t>青森市浜田字玉川346-1</t>
    <rPh sb="0" eb="3">
      <t>アオモリシ</t>
    </rPh>
    <rPh sb="3" eb="5">
      <t>ハマダ</t>
    </rPh>
    <rPh sb="5" eb="6">
      <t>アザ</t>
    </rPh>
    <rPh sb="6" eb="8">
      <t>タマカワ</t>
    </rPh>
    <phoneticPr fontId="4"/>
  </si>
  <si>
    <t>017-764-6119</t>
    <phoneticPr fontId="4"/>
  </si>
  <si>
    <t>036-8004</t>
    <phoneticPr fontId="4"/>
  </si>
  <si>
    <t>弘前市大町二丁目１２－４</t>
    <phoneticPr fontId="4"/>
  </si>
  <si>
    <t>yasuhiro</t>
    <phoneticPr fontId="4"/>
  </si>
  <si>
    <t>mai</t>
    <phoneticPr fontId="4"/>
  </si>
  <si>
    <t>向井亜美</t>
    <rPh sb="0" eb="2">
      <t>ムカイ</t>
    </rPh>
    <rPh sb="2" eb="4">
      <t>アミ</t>
    </rPh>
    <phoneticPr fontId="4"/>
  </si>
  <si>
    <t>ﾑｶｲ　ｱﾐ</t>
    <phoneticPr fontId="4"/>
  </si>
  <si>
    <t>弘前大学医学部付属病院　眼科</t>
    <rPh sb="4" eb="6">
      <t>イガク</t>
    </rPh>
    <rPh sb="6" eb="7">
      <t>ブ</t>
    </rPh>
    <rPh sb="7" eb="9">
      <t>フゾク</t>
    </rPh>
    <rPh sb="9" eb="11">
      <t>ビョウイン</t>
    </rPh>
    <phoneticPr fontId="4"/>
  </si>
  <si>
    <t>弘前市本町５３</t>
    <rPh sb="0" eb="3">
      <t>ヒロサキシ</t>
    </rPh>
    <rPh sb="3" eb="5">
      <t>ホンチョウ</t>
    </rPh>
    <phoneticPr fontId="4"/>
  </si>
  <si>
    <t>036-8197</t>
    <phoneticPr fontId="4"/>
  </si>
  <si>
    <t>弘前市桶屋町３３　メゾンユアフルＧ　０２－Ｃ号</t>
    <rPh sb="0" eb="3">
      <t>ヒロサキシ</t>
    </rPh>
    <rPh sb="3" eb="4">
      <t>オケ</t>
    </rPh>
    <rPh sb="4" eb="5">
      <t>ヤ</t>
    </rPh>
    <rPh sb="5" eb="6">
      <t>マチ</t>
    </rPh>
    <rPh sb="22" eb="23">
      <t>ゴウ</t>
    </rPh>
    <phoneticPr fontId="4"/>
  </si>
  <si>
    <t>080-1681-9747</t>
    <phoneticPr fontId="4"/>
  </si>
  <si>
    <t>R5年11月改姓　古川ふるかわ→向井</t>
    <rPh sb="2" eb="3">
      <t>ネン</t>
    </rPh>
    <rPh sb="5" eb="6">
      <t>ガツ</t>
    </rPh>
    <rPh sb="6" eb="8">
      <t>カイセイ</t>
    </rPh>
    <rPh sb="9" eb="11">
      <t>フルカワ</t>
    </rPh>
    <rPh sb="16" eb="18">
      <t>ムカイ</t>
    </rPh>
    <phoneticPr fontId="4"/>
  </si>
  <si>
    <t>ami</t>
    <phoneticPr fontId="4"/>
  </si>
  <si>
    <t xml:space="preserve">向井田泰子        </t>
    <phoneticPr fontId="4"/>
  </si>
  <si>
    <t>yasukom</t>
    <phoneticPr fontId="4"/>
  </si>
  <si>
    <t>g5wjb3</t>
    <phoneticPr fontId="4"/>
  </si>
  <si>
    <t xml:space="preserve">目時友美         </t>
    <phoneticPr fontId="4"/>
  </si>
  <si>
    <t>めとき眼科クリニック</t>
    <rPh sb="3" eb="5">
      <t>ガンカ</t>
    </rPh>
    <phoneticPr fontId="4"/>
  </si>
  <si>
    <t>036-8046</t>
    <phoneticPr fontId="4"/>
  </si>
  <si>
    <t>弘前市北横町５０番地１</t>
    <rPh sb="3" eb="6">
      <t>キタヨコチョウ</t>
    </rPh>
    <rPh sb="8" eb="10">
      <t>バンチ</t>
    </rPh>
    <phoneticPr fontId="4"/>
  </si>
  <si>
    <t>0172-40-0691</t>
    <phoneticPr fontId="4"/>
  </si>
  <si>
    <t>0172-35-0895</t>
    <phoneticPr fontId="4"/>
  </si>
  <si>
    <t>tomomim</t>
    <phoneticPr fontId="4"/>
  </si>
  <si>
    <t>tabletennis</t>
    <phoneticPr fontId="4"/>
  </si>
  <si>
    <t>盛泰子</t>
    <rPh sb="0" eb="1">
      <t>モ</t>
    </rPh>
    <rPh sb="1" eb="3">
      <t>ヤスコ</t>
    </rPh>
    <phoneticPr fontId="4"/>
  </si>
  <si>
    <t>ﾓﾘ ﾀｲｺ</t>
    <phoneticPr fontId="4"/>
  </si>
  <si>
    <t>017271</t>
    <phoneticPr fontId="4"/>
  </si>
  <si>
    <t>医療法人マルモ　伊藤眼科クリニック</t>
    <rPh sb="0" eb="4">
      <t>イリョウホウジン</t>
    </rPh>
    <rPh sb="8" eb="12">
      <t>イトウガンカ</t>
    </rPh>
    <phoneticPr fontId="4"/>
  </si>
  <si>
    <t>青森市八重田４－２－１　ラ・セラ東バイパスショッピングセンター1階</t>
    <rPh sb="0" eb="2">
      <t>アオモリ</t>
    </rPh>
    <rPh sb="2" eb="3">
      <t>シ</t>
    </rPh>
    <rPh sb="3" eb="6">
      <t>ヤエダ</t>
    </rPh>
    <rPh sb="16" eb="17">
      <t>ヒガシ</t>
    </rPh>
    <rPh sb="32" eb="33">
      <t>カイ</t>
    </rPh>
    <phoneticPr fontId="4"/>
  </si>
  <si>
    <t>017-718-5258</t>
    <phoneticPr fontId="4"/>
  </si>
  <si>
    <t>030-0822</t>
    <phoneticPr fontId="4"/>
  </si>
  <si>
    <t>青森市中央４－１２－１３</t>
    <rPh sb="0" eb="3">
      <t>アオモリシ</t>
    </rPh>
    <rPh sb="3" eb="5">
      <t>チュウオウ</t>
    </rPh>
    <phoneticPr fontId="4"/>
  </si>
  <si>
    <t>090-7567‐3128</t>
    <phoneticPr fontId="4"/>
  </si>
  <si>
    <t>R6年3月BからAへ、開業</t>
    <rPh sb="2" eb="3">
      <t>ネン</t>
    </rPh>
    <rPh sb="4" eb="5">
      <t>ガツ</t>
    </rPh>
    <rPh sb="11" eb="13">
      <t>カイギョウ</t>
    </rPh>
    <phoneticPr fontId="4"/>
  </si>
  <si>
    <t>taiko</t>
    <phoneticPr fontId="4"/>
  </si>
  <si>
    <t>okinawadaisuki</t>
    <phoneticPr fontId="4"/>
  </si>
  <si>
    <t>や</t>
    <phoneticPr fontId="4"/>
  </si>
  <si>
    <t>谷田 遥佳</t>
    <rPh sb="0" eb="2">
      <t>タニダ</t>
    </rPh>
    <rPh sb="3" eb="4">
      <t>ハルカ</t>
    </rPh>
    <rPh sb="4" eb="5">
      <t>カ</t>
    </rPh>
    <phoneticPr fontId="4"/>
  </si>
  <si>
    <t>ﾔﾂﾀﾞ ﾊﾙｶ</t>
    <phoneticPr fontId="4"/>
  </si>
  <si>
    <t>弘前大学医学部附属病院</t>
    <rPh sb="0" eb="11">
      <t>ヒロサキダイガクイガクブフゾクビョウイン</t>
    </rPh>
    <phoneticPr fontId="4"/>
  </si>
  <si>
    <t>青森県弘前市本町５３</t>
    <rPh sb="0" eb="6">
      <t>アオモリケンヒロサキシ</t>
    </rPh>
    <rPh sb="6" eb="8">
      <t>ホンマチ</t>
    </rPh>
    <phoneticPr fontId="4"/>
  </si>
  <si>
    <t>青森県弘前市在府町76－2アレーズ１０５</t>
    <rPh sb="0" eb="6">
      <t>アオモリケンヒロサキシ</t>
    </rPh>
    <rPh sb="6" eb="9">
      <t>ザイフチョウ</t>
    </rPh>
    <phoneticPr fontId="4"/>
  </si>
  <si>
    <t>080-7238-0699</t>
    <phoneticPr fontId="4"/>
  </si>
  <si>
    <t>yacchig0d4i3s7w@yahoo.co.jp</t>
    <phoneticPr fontId="4"/>
  </si>
  <si>
    <t>harukaya</t>
    <phoneticPr fontId="4"/>
  </si>
  <si>
    <t>山内宏大</t>
    <rPh sb="0" eb="2">
      <t>ヤマウチ</t>
    </rPh>
    <rPh sb="2" eb="3">
      <t>ヒロ</t>
    </rPh>
    <rPh sb="3" eb="4">
      <t>ダイ</t>
    </rPh>
    <phoneticPr fontId="4"/>
  </si>
  <si>
    <t>ﾔﾏｳﾁ ｺｳﾀﾞｲ</t>
    <phoneticPr fontId="4"/>
  </si>
  <si>
    <t>038-1311</t>
    <phoneticPr fontId="4"/>
  </si>
  <si>
    <t>青森市浪岡大字浪岡字淋城21-3</t>
    <rPh sb="0" eb="3">
      <t>アオモリシ</t>
    </rPh>
    <rPh sb="3" eb="5">
      <t>ナミオカ</t>
    </rPh>
    <rPh sb="5" eb="7">
      <t>オオアザ</t>
    </rPh>
    <rPh sb="7" eb="9">
      <t>ナミオカ</t>
    </rPh>
    <rPh sb="9" eb="10">
      <t>アザ</t>
    </rPh>
    <rPh sb="10" eb="11">
      <t>サミ</t>
    </rPh>
    <rPh sb="11" eb="12">
      <t>シロ</t>
    </rPh>
    <phoneticPr fontId="4"/>
  </si>
  <si>
    <t>090-6455-5757</t>
    <phoneticPr fontId="4"/>
  </si>
  <si>
    <t>koudai</t>
    <phoneticPr fontId="4"/>
  </si>
  <si>
    <t>namioka</t>
    <phoneticPr fontId="4"/>
  </si>
  <si>
    <t xml:space="preserve">山上 潔        </t>
    <phoneticPr fontId="4"/>
  </si>
  <si>
    <t>青森市松原３－９－５２</t>
    <phoneticPr fontId="4"/>
  </si>
  <si>
    <t>青森市松原２－１１－５</t>
    <phoneticPr fontId="4"/>
  </si>
  <si>
    <t>kiyoshi</t>
    <phoneticPr fontId="4"/>
  </si>
  <si>
    <t>takumamasako</t>
    <phoneticPr fontId="4"/>
  </si>
  <si>
    <t xml:space="preserve">山上美情子     </t>
    <phoneticPr fontId="4"/>
  </si>
  <si>
    <t>青森市長島２－１－１４　青森クリニックビル３Ｆ</t>
    <phoneticPr fontId="4"/>
  </si>
  <si>
    <t>017-723-6641</t>
    <phoneticPr fontId="4"/>
  </si>
  <si>
    <t>minako</t>
    <phoneticPr fontId="4"/>
  </si>
  <si>
    <t>matsubara2115</t>
    <phoneticPr fontId="4"/>
  </si>
  <si>
    <t xml:space="preserve">山崎仁志         </t>
    <phoneticPr fontId="4"/>
  </si>
  <si>
    <t>山崎眼科</t>
    <rPh sb="0" eb="2">
      <t>ヤマザキ</t>
    </rPh>
    <phoneticPr fontId="4"/>
  </si>
  <si>
    <t>031-0073</t>
    <phoneticPr fontId="4"/>
  </si>
  <si>
    <t>八戸市売市1丁目10-13</t>
    <rPh sb="3" eb="5">
      <t>ウルイチ</t>
    </rPh>
    <rPh sb="6" eb="8">
      <t>チョウメ</t>
    </rPh>
    <phoneticPr fontId="4"/>
  </si>
  <si>
    <t>hitoshiy</t>
    <phoneticPr fontId="4"/>
  </si>
  <si>
    <t>4wbjp2d</t>
    <phoneticPr fontId="4"/>
  </si>
  <si>
    <t>山邊佑樹</t>
    <rPh sb="0" eb="2">
      <t>ヤマベ</t>
    </rPh>
    <rPh sb="2" eb="4">
      <t>ユウキ</t>
    </rPh>
    <phoneticPr fontId="4"/>
  </si>
  <si>
    <t>ﾔﾏﾍﾞ ﾕｳｷ</t>
    <phoneticPr fontId="4"/>
  </si>
  <si>
    <t>青森県五所川原市字岩木町12番地3</t>
    <rPh sb="0" eb="3">
      <t>アオモリケン</t>
    </rPh>
    <rPh sb="3" eb="8">
      <t>ゴショガワラシ</t>
    </rPh>
    <rPh sb="8" eb="9">
      <t>アザ</t>
    </rPh>
    <rPh sb="9" eb="12">
      <t>イワキチョウ</t>
    </rPh>
    <rPh sb="14" eb="16">
      <t>バンチ</t>
    </rPh>
    <phoneticPr fontId="4"/>
  </si>
  <si>
    <t>青森県弘前市樹木2-21-4　ガレンド201</t>
    <rPh sb="0" eb="3">
      <t>アオモリケン</t>
    </rPh>
    <rPh sb="3" eb="6">
      <t>ヒロサキシ</t>
    </rPh>
    <rPh sb="6" eb="8">
      <t>ジュモク</t>
    </rPh>
    <phoneticPr fontId="4"/>
  </si>
  <si>
    <t>090-7320-7165</t>
    <phoneticPr fontId="4"/>
  </si>
  <si>
    <t>yamabey14@gmail.com</t>
    <phoneticPr fontId="4"/>
  </si>
  <si>
    <t xml:space="preserve">yuki </t>
    <phoneticPr fontId="4"/>
  </si>
  <si>
    <t>m4Frit</t>
    <phoneticPr fontId="4"/>
  </si>
  <si>
    <t xml:space="preserve">横井由美子        </t>
    <phoneticPr fontId="4"/>
  </si>
  <si>
    <t>039-1107</t>
    <phoneticPr fontId="4"/>
  </si>
  <si>
    <t>八戸市櫛引上矢倉9-5</t>
    <rPh sb="0" eb="3">
      <t>ハチノヘシ</t>
    </rPh>
    <rPh sb="3" eb="5">
      <t>クシヒキ</t>
    </rPh>
    <rPh sb="5" eb="6">
      <t>カミ</t>
    </rPh>
    <rPh sb="6" eb="7">
      <t>ヤ</t>
    </rPh>
    <rPh sb="7" eb="8">
      <t>クラ</t>
    </rPh>
    <phoneticPr fontId="4"/>
  </si>
  <si>
    <t>0178-27-0095</t>
    <phoneticPr fontId="4"/>
  </si>
  <si>
    <t>令和4年在アメリカ研究職、会費免除</t>
    <rPh sb="0" eb="2">
      <t>レイワ</t>
    </rPh>
    <rPh sb="3" eb="4">
      <t>ネン</t>
    </rPh>
    <rPh sb="4" eb="5">
      <t>ザイ</t>
    </rPh>
    <rPh sb="9" eb="12">
      <t>ケンキュウショク</t>
    </rPh>
    <rPh sb="13" eb="17">
      <t>カイヒメンジョ</t>
    </rPh>
    <phoneticPr fontId="4"/>
  </si>
  <si>
    <t>yumiko</t>
    <phoneticPr fontId="4"/>
  </si>
  <si>
    <t>d4fh23y</t>
    <phoneticPr fontId="4"/>
  </si>
  <si>
    <t xml:space="preserve">吉田恒一         </t>
    <phoneticPr fontId="4"/>
  </si>
  <si>
    <t>弘前市大字植田町４０－１</t>
    <phoneticPr fontId="4"/>
  </si>
  <si>
    <t>koichi</t>
    <phoneticPr fontId="4"/>
  </si>
  <si>
    <t>daicon0117</t>
    <phoneticPr fontId="4"/>
  </si>
  <si>
    <t>わ</t>
    <phoneticPr fontId="4"/>
  </si>
  <si>
    <t>若栗隆志</t>
    <phoneticPr fontId="4"/>
  </si>
  <si>
    <t>ﾜｶｸﾘ ﾀｶｼ</t>
    <phoneticPr fontId="4"/>
  </si>
  <si>
    <t>033-0031</t>
    <phoneticPr fontId="4"/>
  </si>
  <si>
    <t>三沢市桜町３丁目１－３４　桜町宿舎９号棟４０４号</t>
    <rPh sb="3" eb="5">
      <t>サクラマチ</t>
    </rPh>
    <rPh sb="6" eb="8">
      <t>チョウメ</t>
    </rPh>
    <rPh sb="13" eb="15">
      <t>サクラマチ</t>
    </rPh>
    <rPh sb="15" eb="17">
      <t>シュクシャ</t>
    </rPh>
    <rPh sb="18" eb="20">
      <t>ゴウトウ</t>
    </rPh>
    <rPh sb="23" eb="24">
      <t>ゴウ</t>
    </rPh>
    <phoneticPr fontId="4"/>
  </si>
  <si>
    <t>090-8346-4784</t>
    <phoneticPr fontId="4"/>
  </si>
  <si>
    <t>takashiw</t>
    <phoneticPr fontId="4"/>
  </si>
  <si>
    <t>全会員の構成</t>
    <rPh sb="0" eb="3">
      <t>ゼンカイイン</t>
    </rPh>
    <rPh sb="4" eb="6">
      <t>コウセイ</t>
    </rPh>
    <phoneticPr fontId="4"/>
  </si>
  <si>
    <t>男性</t>
    <rPh sb="0" eb="2">
      <t>ダンセイ</t>
    </rPh>
    <phoneticPr fontId="4"/>
  </si>
  <si>
    <t>女性</t>
    <rPh sb="0" eb="2">
      <t>ジョセイ</t>
    </rPh>
    <phoneticPr fontId="4"/>
  </si>
  <si>
    <t>全会員</t>
    <rPh sb="0" eb="3">
      <t>ゼンカイイン</t>
    </rPh>
    <phoneticPr fontId="4"/>
  </si>
  <si>
    <t>30代以下の</t>
    <rPh sb="2" eb="3">
      <t>ダイ</t>
    </rPh>
    <rPh sb="3" eb="5">
      <t>イカ</t>
    </rPh>
    <phoneticPr fontId="4"/>
  </si>
  <si>
    <t>40代の</t>
    <rPh sb="2" eb="3">
      <t>ダイ</t>
    </rPh>
    <phoneticPr fontId="4"/>
  </si>
  <si>
    <t>50代の</t>
    <rPh sb="2" eb="3">
      <t>ダイ</t>
    </rPh>
    <phoneticPr fontId="4"/>
  </si>
  <si>
    <t>60代の</t>
    <rPh sb="2" eb="3">
      <t>ダイ</t>
    </rPh>
    <phoneticPr fontId="4"/>
  </si>
  <si>
    <t>70歳以上の</t>
    <rPh sb="2" eb="5">
      <t>サイイジョウ</t>
    </rPh>
    <rPh sb="3" eb="5">
      <t>イジョウ</t>
    </rPh>
    <phoneticPr fontId="4"/>
  </si>
  <si>
    <t>役員</t>
    <rPh sb="0" eb="2">
      <t>ヤクイン</t>
    </rPh>
    <phoneticPr fontId="4"/>
  </si>
  <si>
    <t>A会員</t>
    <rPh sb="1" eb="3">
      <t>カイイン</t>
    </rPh>
    <phoneticPr fontId="4"/>
  </si>
  <si>
    <t>B会員</t>
    <rPh sb="1" eb="3">
      <t>カイイン</t>
    </rPh>
    <phoneticPr fontId="4"/>
  </si>
  <si>
    <t>C会員</t>
    <rPh sb="1" eb="3">
      <t>カイイン</t>
    </rPh>
    <phoneticPr fontId="4"/>
  </si>
  <si>
    <t>D会員</t>
    <rPh sb="1" eb="3">
      <t>カイイン</t>
    </rPh>
    <phoneticPr fontId="4"/>
  </si>
  <si>
    <t>会費免除会員</t>
    <rPh sb="0" eb="2">
      <t>カイヒ</t>
    </rPh>
    <rPh sb="2" eb="4">
      <t>メンジョ</t>
    </rPh>
    <rPh sb="4" eb="6">
      <t>カイイン</t>
    </rPh>
    <phoneticPr fontId="4"/>
  </si>
  <si>
    <t>青森県眼科医会名簿</t>
    <rPh sb="0" eb="9">
      <t>アオモリケンガンカイカイメイボ</t>
    </rPh>
    <phoneticPr fontId="4"/>
  </si>
  <si>
    <t>FeePaymentControl</t>
  </si>
  <si>
    <t>..\build\会費納入のお願い</t>
  </si>
  <si>
    <t>本ワークブックが存在するフォルダを基底とした相対パス</t>
  </si>
  <si>
    <t>.\会費納入のお願い.docx</t>
  </si>
  <si>
    <t>出力先フォルダ（会費納入のお願いletter）</t>
    <rPh sb="0" eb="3">
      <t>シュツリョクサキ</t>
    </rPh>
    <rPh sb="8" eb="10">
      <t>カイヒ</t>
    </rPh>
    <rPh sb="10" eb="12">
      <t>ノウニュウ</t>
    </rPh>
    <rPh sb="14" eb="15">
      <t>ネガ</t>
    </rPh>
    <phoneticPr fontId="4"/>
  </si>
  <si>
    <t>テンプレートとしてのWordファイル（会費納入のお願いletter）</t>
    <phoneticPr fontId="4"/>
  </si>
  <si>
    <t>Proc納入状況チェック</t>
  </si>
  <si>
    <t>Public Sub Proc納入状況チェック()</t>
  </si>
  <si>
    <t>会費納入のお願いを作成</t>
  </si>
  <si>
    <t>MakeLetter</t>
  </si>
  <si>
    <t>Public Sub MakeLetter()</t>
  </si>
  <si>
    <t>StartsWith</t>
  </si>
  <si>
    <t>Private Function StartsWith(target_str As String, search_str As String) As Boolean</t>
  </si>
  <si>
    <t>'###################################################################################
'target_str文字列がsearch_str文字列で始まっているか確認する
'search_strで始まっている場合はTrue
'search_strで始まっていない、もしくはsearch_strがtarget_strの文字数を超える場合はFalseを返す
'
'例
'    StartsWith('C弘大', 'C') はTrueを返す
'    StartsWith('C弘大', 'E') はFalseを返す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</si>
</sst>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font>
      <sz val="11"/>
      <color theme="1"/>
      <name val="游ゴシック"/>
      <family val="2"/>
      <charset val="128"/>
      <scheme val="minor"/>
    </font>
    <font>
      <sz val="11"/>
      <color theme="1"/>
      <name val="游ゴシック"/>
      <family val="2"/>
      <charset val="128"/>
      <scheme val="minor"/>
    </font>
    <font>
      <sz val="10"/>
      <color theme="1"/>
      <name val="Meiryo UI"/>
      <family val="2"/>
      <charset val="128"/>
    </font>
    <font>
      <sz val="12"/>
      <color theme="1"/>
      <name val="游ゴシック"/>
      <family val="2"/>
      <charset val="128"/>
      <scheme val="minor"/>
    </font>
    <font>
      <sz val="6"/>
      <name val="游ゴシック"/>
      <family val="2"/>
      <charset val="128"/>
      <scheme val="minor"/>
    </font>
    <font>
      <sz val="11"/>
      <color rgb="FF000000"/>
      <name val="游ゴシック"/>
      <family val="3"/>
      <charset val="128"/>
    </font>
    <font>
      <sz val="11"/>
      <color rgb="FFFF0000"/>
      <name val="游ゴシック"/>
      <family val="2"/>
      <charset val="128"/>
      <scheme val="minor"/>
    </font>
    <font>
      <i/>
      <sz val="11"/>
      <color theme="1"/>
      <name val="游ゴシック"/>
      <family val="2"/>
      <charset val="128"/>
      <scheme val="minor"/>
    </font>
    <font>
      <i/>
      <sz val="11"/>
      <name val="游ゴシック"/>
      <family val="2"/>
      <charset val="128"/>
      <scheme val="minor"/>
    </font>
    <font>
      <sz val="11"/>
      <color rgb="FFFF0000"/>
      <name val="游ゴシック"/>
      <family val="3"/>
      <charset val="128"/>
      <scheme val="minor"/>
    </font>
    <font>
      <sz val="11"/>
      <name val="ＭＳ Ｐゴシック"/>
      <family val="3"/>
      <charset val="128"/>
    </font>
    <font>
      <sz val="11"/>
      <name val="游ゴシック"/>
      <family val="2"/>
      <charset val="128"/>
      <scheme val="minor"/>
    </font>
    <font>
      <sz val="11"/>
      <name val="游ゴシック"/>
      <family val="3"/>
      <charset val="128"/>
      <scheme val="minor"/>
    </font>
    <font>
      <sz val="11"/>
      <name val="ＭＳ 明朝"/>
      <family val="1"/>
      <charset val="128"/>
    </font>
    <font>
      <sz val="14"/>
      <color theme="1"/>
      <name val="游ゴシック"/>
      <family val="2"/>
      <charset val="128"/>
      <scheme val="minor"/>
    </font>
    <font>
      <u/>
      <sz val="11"/>
      <color theme="10"/>
      <name val="游ゴシック"/>
      <family val="2"/>
      <charset val="128"/>
      <scheme val="minor"/>
    </font>
    <font>
      <sz val="6"/>
      <color rgb="FF333333"/>
      <name val="Meiryo"/>
      <family val="3"/>
      <charset val="128"/>
    </font>
    <font>
      <u/>
      <sz val="11"/>
      <color theme="9"/>
      <name val="ＭＳ Ｐゴシック"/>
      <family val="3"/>
      <charset val="128"/>
    </font>
    <font>
      <b/>
      <sz val="11"/>
      <color theme="1"/>
      <name val="游ゴシック"/>
      <family val="3"/>
      <charset val="128"/>
      <scheme val="minor"/>
    </font>
    <font>
      <sz val="6"/>
      <color rgb="FF333333"/>
      <name val="メイリオ"/>
      <family val="3"/>
      <charset val="128"/>
    </font>
    <font>
      <u/>
      <sz val="11"/>
      <color rgb="FFFF0000"/>
      <name val="ＭＳ Ｐゴシック"/>
      <family val="3"/>
      <charset val="128"/>
    </font>
    <font>
      <sz val="6"/>
      <color rgb="FF333333"/>
      <name val="Arial"/>
      <family val="2"/>
    </font>
    <font>
      <u/>
      <sz val="11"/>
      <color theme="10"/>
      <name val="游ゴシック"/>
      <family val="3"/>
      <charset val="128"/>
      <scheme val="minor"/>
    </font>
    <font>
      <sz val="6"/>
      <color rgb="FF1B1B1B"/>
      <name val="Verdana"/>
      <family val="2"/>
    </font>
    <font>
      <sz val="6"/>
      <name val="ＭＳ Ｐゴシック"/>
      <family val="3"/>
      <charset val="128"/>
    </font>
    <font>
      <sz val="6"/>
      <name val="ＭＳ Ｐ明朝"/>
      <family val="1"/>
      <charset val="128"/>
    </font>
  </fonts>
  <fills count="5">
    <fill>
      <patternFill patternType="none"/>
    </fill>
    <fill>
      <patternFill patternType="gray125"/>
    </fill>
    <fill>
      <patternFill patternType="solid">
        <fgColor theme="0" tint="-0.34998626667073579"/>
        <bgColor indexed="64"/>
      </patternFill>
    </fill>
    <fill>
      <patternFill patternType="solid">
        <fgColor rgb="FFC8C8C8"/>
        <bgColor indexed="64"/>
      </patternFill>
    </fill>
    <fill>
      <patternFill patternType="solid">
        <fgColor theme="0"/>
        <bgColor indexed="64"/>
      </patternFill>
    </fill>
  </fills>
  <borders count="7">
    <border>
      <left/>
      <right/>
      <top/>
      <bottom/>
      <diagonal/>
    </border>
    <border>
      <left style="hair">
        <color auto="1"/>
      </left>
      <right style="hair">
        <color auto="1"/>
      </right>
      <top style="hair">
        <color auto="1"/>
      </top>
      <bottom style="hair">
        <color auto="1"/>
      </bottom>
      <diagonal/>
    </border>
    <border>
      <left style="hair">
        <color auto="1"/>
      </left>
      <right style="hair">
        <color auto="1"/>
      </right>
      <top/>
      <bottom/>
      <diagonal/>
    </border>
    <border>
      <left style="hair">
        <color auto="1"/>
      </left>
      <right/>
      <top/>
      <bottom/>
      <diagonal/>
    </border>
    <border>
      <left/>
      <right style="hair">
        <color indexed="64"/>
      </right>
      <top/>
      <bottom/>
      <diagonal/>
    </border>
    <border>
      <left/>
      <right style="hair">
        <color indexed="64"/>
      </right>
      <top style="hair">
        <color indexed="64"/>
      </top>
      <bottom style="hair">
        <color indexed="64"/>
      </bottom>
      <diagonal/>
    </border>
    <border>
      <left style="thin">
        <color indexed="64"/>
      </left>
      <right style="thin">
        <color indexed="64"/>
      </right>
      <top/>
      <bottom/>
      <diagonal/>
    </border>
  </borders>
  <cellStyleXfs count="4">
    <xf numFmtId="0" fontId="0" fillId="0" borderId="0"/>
    <xf numFmtId="0" fontId="1" fillId="0" borderId="0">
      <alignment vertical="center"/>
    </xf>
    <xf numFmtId="0" fontId="2" fillId="0" borderId="0">
      <alignment vertical="center"/>
    </xf>
    <xf numFmtId="0" fontId="15" fillId="0" borderId="0" applyNumberFormat="0" applyFill="0" applyBorder="0" applyAlignment="0" applyProtection="0">
      <alignment vertical="center"/>
    </xf>
  </cellStyleXfs>
  <cellXfs count="59">
    <xf numFmtId="0" fontId="0" fillId="0" borderId="0" xfId="0"/>
    <xf numFmtId="0" fontId="0" fillId="0" borderId="0" xfId="0" applyAlignment="1">
      <alignment wrapText="1"/>
    </xf>
    <xf numFmtId="0" fontId="3" fillId="0" borderId="0" xfId="0" applyFont="1"/>
    <xf numFmtId="0" fontId="1" fillId="0" borderId="0" xfId="1" applyAlignment="1">
      <alignment horizontal="center" vertical="center"/>
    </xf>
    <xf numFmtId="0" fontId="1" fillId="0" borderId="1" xfId="1" applyBorder="1" applyAlignment="1">
      <alignment horizontal="center" vertical="center"/>
    </xf>
    <xf numFmtId="0" fontId="1" fillId="0" borderId="2" xfId="1" applyBorder="1" applyAlignment="1">
      <alignment horizontal="center" vertical="center"/>
    </xf>
    <xf numFmtId="0" fontId="1" fillId="0" borderId="3" xfId="1" applyBorder="1" applyAlignment="1">
      <alignment horizontal="center" vertical="center"/>
    </xf>
    <xf numFmtId="0" fontId="1" fillId="0" borderId="0" xfId="1">
      <alignment vertical="center"/>
    </xf>
    <xf numFmtId="0" fontId="1" fillId="0" borderId="1" xfId="1" applyBorder="1">
      <alignment vertical="center"/>
    </xf>
    <xf numFmtId="0" fontId="6" fillId="0" borderId="1" xfId="1" applyFont="1" applyBorder="1" applyAlignment="1">
      <alignment horizontal="center" vertical="center"/>
    </xf>
    <xf numFmtId="14" fontId="1" fillId="0" borderId="1" xfId="1" applyNumberFormat="1" applyBorder="1">
      <alignment vertical="center"/>
    </xf>
    <xf numFmtId="14" fontId="7" fillId="0" borderId="1" xfId="1" applyNumberFormat="1" applyFont="1" applyBorder="1" applyAlignment="1">
      <alignment horizontal="right" vertical="center"/>
    </xf>
    <xf numFmtId="0" fontId="8" fillId="0" borderId="1" xfId="1" applyFont="1" applyBorder="1" applyAlignment="1">
      <alignment horizontal="center" vertical="center"/>
    </xf>
    <xf numFmtId="0" fontId="1" fillId="0" borderId="1" xfId="1" applyBorder="1" applyAlignment="1">
      <alignment vertical="center" wrapText="1"/>
    </xf>
    <xf numFmtId="0" fontId="1" fillId="0" borderId="1" xfId="1" applyBorder="1" applyAlignment="1">
      <alignment horizontal="left" vertical="center"/>
    </xf>
    <xf numFmtId="0" fontId="1" fillId="0" borderId="2" xfId="1" applyBorder="1">
      <alignment vertical="center"/>
    </xf>
    <xf numFmtId="0" fontId="9" fillId="0" borderId="1" xfId="1" applyFont="1" applyBorder="1" applyAlignment="1">
      <alignment horizontal="center" vertical="center"/>
    </xf>
    <xf numFmtId="0" fontId="1" fillId="0" borderId="3" xfId="1" applyBorder="1">
      <alignment vertical="center"/>
    </xf>
    <xf numFmtId="49" fontId="10" fillId="0" borderId="1" xfId="1" applyNumberFormat="1" applyFont="1" applyBorder="1" applyProtection="1">
      <alignment vertical="center"/>
      <protection locked="0"/>
    </xf>
    <xf numFmtId="0" fontId="10" fillId="0" borderId="4" xfId="1" applyFont="1" applyBorder="1" applyAlignment="1" applyProtection="1">
      <alignment vertical="center" wrapText="1"/>
      <protection locked="0"/>
    </xf>
    <xf numFmtId="0" fontId="10" fillId="0" borderId="1" xfId="1" applyFont="1" applyBorder="1" applyProtection="1">
      <alignment vertical="center"/>
      <protection locked="0"/>
    </xf>
    <xf numFmtId="14" fontId="1" fillId="0" borderId="0" xfId="1" applyNumberFormat="1">
      <alignment vertical="center"/>
    </xf>
    <xf numFmtId="0" fontId="6" fillId="0" borderId="1" xfId="1" applyFont="1" applyBorder="1">
      <alignment vertical="center"/>
    </xf>
    <xf numFmtId="0" fontId="9" fillId="0" borderId="1" xfId="1" applyFont="1" applyBorder="1">
      <alignment vertical="center"/>
    </xf>
    <xf numFmtId="0" fontId="9" fillId="0" borderId="1" xfId="1" applyFont="1" applyBorder="1" applyAlignment="1">
      <alignment vertical="center" wrapText="1"/>
    </xf>
    <xf numFmtId="0" fontId="11" fillId="0" borderId="1" xfId="1" applyFont="1" applyBorder="1" applyAlignment="1">
      <alignment horizontal="center" vertical="center"/>
    </xf>
    <xf numFmtId="0" fontId="12" fillId="0" borderId="1" xfId="1" applyFont="1" applyBorder="1" applyAlignment="1">
      <alignment horizontal="center" vertical="center"/>
    </xf>
    <xf numFmtId="0" fontId="13" fillId="0" borderId="5" xfId="1" applyFont="1" applyBorder="1" applyAlignment="1" applyProtection="1">
      <alignment vertical="center" wrapText="1"/>
      <protection locked="0"/>
    </xf>
    <xf numFmtId="0" fontId="13" fillId="0" borderId="1" xfId="1" applyFont="1" applyBorder="1" applyProtection="1">
      <alignment vertical="center"/>
      <protection locked="0"/>
    </xf>
    <xf numFmtId="0" fontId="1" fillId="0" borderId="2" xfId="1" applyBorder="1" applyAlignment="1">
      <alignment vertical="center" wrapText="1"/>
    </xf>
    <xf numFmtId="0" fontId="1" fillId="0" borderId="0" xfId="1" applyAlignment="1">
      <alignment horizontal="left" vertical="center"/>
    </xf>
    <xf numFmtId="0" fontId="1" fillId="0" borderId="0" xfId="1" applyAlignment="1">
      <alignment vertical="center" wrapText="1"/>
    </xf>
    <xf numFmtId="14" fontId="1" fillId="0" borderId="1" xfId="1" applyNumberFormat="1" applyBorder="1" applyAlignment="1">
      <alignment horizontal="right" vertical="center"/>
    </xf>
    <xf numFmtId="0" fontId="14" fillId="0" borderId="0" xfId="1" applyFont="1" applyAlignment="1">
      <alignment horizontal="left" vertical="center"/>
    </xf>
    <xf numFmtId="0" fontId="0" fillId="2" borderId="0" xfId="0" applyFill="1"/>
    <xf numFmtId="0" fontId="0" fillId="3" borderId="0" xfId="0" applyFill="1"/>
    <xf numFmtId="0" fontId="0" fillId="0" borderId="0" xfId="0" quotePrefix="1"/>
    <xf numFmtId="0" fontId="1" fillId="0" borderId="1" xfId="1" applyBorder="1" applyAlignment="1">
      <alignment horizontal="center" vertical="center" wrapText="1"/>
    </xf>
    <xf numFmtId="0" fontId="1" fillId="0" borderId="2" xfId="1" applyBorder="1" applyAlignment="1">
      <alignment horizontal="center" vertical="center" wrapText="1"/>
    </xf>
    <xf numFmtId="49" fontId="1" fillId="0" borderId="1" xfId="1" applyNumberFormat="1" applyBorder="1">
      <alignment vertical="center"/>
    </xf>
    <xf numFmtId="0" fontId="16" fillId="0" borderId="0" xfId="1" applyFont="1">
      <alignment vertical="center"/>
    </xf>
    <xf numFmtId="0" fontId="17" fillId="0" borderId="6" xfId="3" applyFont="1" applyBorder="1" applyAlignment="1" applyProtection="1">
      <alignment vertical="center"/>
    </xf>
    <xf numFmtId="0" fontId="15" fillId="0" borderId="3" xfId="3" applyBorder="1">
      <alignment vertical="center"/>
    </xf>
    <xf numFmtId="0" fontId="18" fillId="0" borderId="3" xfId="1" applyFont="1" applyBorder="1">
      <alignment vertical="center"/>
    </xf>
    <xf numFmtId="0" fontId="1" fillId="4" borderId="0" xfId="1" applyFill="1">
      <alignment vertical="center"/>
    </xf>
    <xf numFmtId="0" fontId="19" fillId="0" borderId="0" xfId="1" applyFont="1">
      <alignment vertical="center"/>
    </xf>
    <xf numFmtId="0" fontId="20" fillId="0" borderId="6" xfId="3" applyFont="1" applyBorder="1" applyAlignment="1" applyProtection="1">
      <alignment vertical="center"/>
    </xf>
    <xf numFmtId="0" fontId="21" fillId="0" borderId="0" xfId="1" applyFont="1">
      <alignment vertical="center"/>
    </xf>
    <xf numFmtId="0" fontId="15" fillId="0" borderId="0" xfId="3">
      <alignment vertical="center"/>
    </xf>
    <xf numFmtId="0" fontId="15" fillId="0" borderId="2" xfId="3" applyBorder="1">
      <alignment vertical="center"/>
    </xf>
    <xf numFmtId="0" fontId="1" fillId="0" borderId="1" xfId="1" quotePrefix="1" applyBorder="1">
      <alignment vertical="center"/>
    </xf>
    <xf numFmtId="0" fontId="1" fillId="0" borderId="0" xfId="1" quotePrefix="1">
      <alignment vertical="center"/>
    </xf>
    <xf numFmtId="0" fontId="15" fillId="0" borderId="0" xfId="3" applyAlignment="1" applyProtection="1">
      <alignment vertical="center"/>
    </xf>
    <xf numFmtId="0" fontId="23" fillId="0" borderId="0" xfId="1" applyFont="1">
      <alignment vertical="center"/>
    </xf>
    <xf numFmtId="0" fontId="15" fillId="0" borderId="1" xfId="3" applyBorder="1">
      <alignment vertical="center"/>
    </xf>
    <xf numFmtId="14" fontId="7" fillId="0" borderId="0" xfId="1" applyNumberFormat="1" applyFont="1" applyAlignment="1">
      <alignment horizontal="right" vertical="center"/>
    </xf>
    <xf numFmtId="0" fontId="8" fillId="0" borderId="0" xfId="1" applyFont="1" applyAlignment="1">
      <alignment horizontal="center" vertical="center"/>
    </xf>
    <xf numFmtId="49" fontId="1" fillId="0" borderId="0" xfId="1" applyNumberFormat="1">
      <alignment vertical="center"/>
    </xf>
    <xf numFmtId="0" fontId="0" fillId="0" borderId="0" xfId="0" quotePrefix="1" applyAlignment="1">
      <alignment wrapText="1"/>
    </xf>
  </cellXfs>
  <cellStyles count="4">
    <cellStyle name="ハイパーリンク 2" xfId="3" xr:uid="{3057FD23-DC82-4DB3-A091-8297C4384066}"/>
    <cellStyle name="標準" xfId="0" builtinId="0"/>
    <cellStyle name="標準 2" xfId="1" xr:uid="{B3D61276-7BEE-40E4-B5FD-BF5DEFFDFD6C}"/>
    <cellStyle name="標準 3" xfId="2" xr:uid="{23DE26E6-15FD-4ACC-AF1D-8CEB43D69E32}"/>
  </cellStyles>
  <dxfs count="10">
    <dxf>
      <border diagonalUp="0" diagonalDown="0">
        <left style="hair">
          <color auto="1"/>
        </left>
        <right/>
        <top/>
        <bottom/>
        <vertical/>
        <horizontal/>
      </border>
    </dxf>
    <dxf>
      <alignment horizontal="general" vertical="center" textRotation="0" wrapText="1" indent="0" justifyLastLine="0" shrinkToFit="0" readingOrder="0"/>
    </dxf>
    <dxf>
      <border diagonalUp="0" diagonalDown="0">
        <left style="hair">
          <color auto="1"/>
        </left>
        <right style="hair">
          <color auto="1"/>
        </right>
        <top style="hair">
          <color auto="1"/>
        </top>
        <bottom style="hair">
          <color auto="1"/>
        </bottom>
        <vertical/>
        <horizontal/>
      </border>
    </dxf>
    <dxf>
      <alignment horizontal="general" vertical="center" textRotation="0" wrapText="1" indent="0" justifyLastLine="0" shrinkToFit="0" readingOrder="0"/>
    </dxf>
    <dxf>
      <numFmt numFmtId="30" formatCode="@"/>
    </dxf>
    <dxf>
      <font>
        <b val="0"/>
        <i/>
        <strike val="0"/>
        <condense val="0"/>
        <extend val="0"/>
        <outline val="0"/>
        <shadow val="0"/>
        <u val="none"/>
        <vertAlign val="baseline"/>
        <sz val="11"/>
        <color theme="1"/>
        <name val="游ゴシック"/>
        <family val="2"/>
        <charset val="128"/>
        <scheme val="minor"/>
      </font>
      <numFmt numFmtId="19" formatCode="yyyy/m/d"/>
      <alignment horizontal="right" vertical="center" textRotation="0" wrapText="0" indent="0" justifyLastLine="0" shrinkToFit="0" readingOrder="0"/>
      <border diagonalUp="0" diagonalDown="0">
        <left style="hair">
          <color auto="1"/>
        </left>
        <right style="hair">
          <color auto="1"/>
        </right>
        <top style="hair">
          <color auto="1"/>
        </top>
        <bottom style="hair">
          <color auto="1"/>
        </bottom>
        <vertical/>
        <horizontal/>
      </border>
    </dxf>
    <dxf>
      <alignment horizontal="center" vertical="center" textRotation="0" wrapText="0" indent="0" justifyLastLine="0" shrinkToFit="0" readingOrder="0"/>
      <border diagonalUp="0" diagonalDown="0">
        <left style="hair">
          <color auto="1"/>
        </left>
        <right style="hair">
          <color auto="1"/>
        </right>
        <top style="hair">
          <color auto="1"/>
        </top>
        <bottom style="hair">
          <color auto="1"/>
        </bottom>
        <vertical/>
        <horizontal/>
      </border>
    </dxf>
    <dxf>
      <alignment horizontal="center" vertical="center" textRotation="0" wrapText="0" indent="0" justifyLastLine="0" shrinkToFit="0" readingOrder="0"/>
    </dxf>
    <dxf>
      <font>
        <color rgb="FF9C0006"/>
      </font>
    </dxf>
    <dxf>
      <font>
        <color rgb="FF9C0006"/>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1</xdr:row>
          <xdr:rowOff>25400</xdr:rowOff>
        </xdr:from>
        <xdr:to>
          <xdr:col>6</xdr:col>
          <xdr:colOff>596900</xdr:colOff>
          <xdr:row>5</xdr:row>
          <xdr:rowOff>165100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会費納入状況をチェックする</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26EA739-3F11-4CBB-BCCB-47EE2AF4FB7A}" name="MembersTable13" displayName="MembersTable13" ref="A3:AD111" totalsRowShown="0">
  <autoFilter ref="A3:AD111" xr:uid="{75173448-86B2-4C27-B622-E6020505DB66}"/>
  <tableColumns count="30">
    <tableColumn id="1" xr3:uid="{8F31B710-8160-4A6E-8587-CA249322B904}" name="列1" dataDxfId="7"/>
    <tableColumn id="2" xr3:uid="{407165AA-80AF-44FC-9196-032D9486FDDF}" name="列2" dataDxfId="6">
      <calculatedColumnFormula>B3+1</calculatedColumnFormula>
    </tableColumn>
    <tableColumn id="3" xr3:uid="{9196DFC8-F573-4F75-A252-8448C40D79A2}" name="氏名"/>
    <tableColumn id="4" xr3:uid="{3B63D2C4-D2C6-442D-9690-2BC65FEA4C84}" name="氏名カナ"/>
    <tableColumn id="5" xr3:uid="{BC657807-286E-44FF-8118-108A02907017}" name="性別"/>
    <tableColumn id="6" xr3:uid="{CDAA38F8-04F5-493A-9363-8F4407AF2D28}" name="生年月日"/>
    <tableColumn id="7" xr3:uid="{9AB2599F-D6F3-41AF-942F-CAD1128DCE0C}" name="生年月日3" dataDxfId="5"/>
    <tableColumn id="8" xr3:uid="{E2CE3FBD-09E7-4B83-9AEC-28D8A5A0FCD4}" name="年齢">
      <calculatedColumnFormula>DATEDIF(F4,M$1,"Y")</calculatedColumnFormula>
    </tableColumn>
    <tableColumn id="9" xr3:uid="{C55D2F19-7272-4711-AB8D-3D75879DCB4E}" name="医籍_x000a_登録番号"/>
    <tableColumn id="10" xr3:uid="{5DBEC004-A60E-4CE2-A6A5-049F9FBB19A1}" name="医籍_x000a_登録日"/>
    <tableColumn id="11" xr3:uid="{6DDB033E-E59C-4E4E-97B6-50D81D5E81E0}" name="日眼医_x000a_登録日"/>
    <tableColumn id="24" xr3:uid="{3C3F38B9-11DC-4C36-A2E9-CF6880691267}" name="専門医_x000a_登録No" dataDxfId="4"/>
    <tableColumn id="12" xr3:uid="{8CB782CE-7D4E-49F0-A488-72556C41C700}" name="勤務先名"/>
    <tableColumn id="13" xr3:uid="{30D24A3D-B637-48AB-9F95-39C6D6E37F1A}" name="勤務先〒"/>
    <tableColumn id="14" xr3:uid="{3EFDB56C-E4E7-4404-A47C-614775BB4967}" name="勤務先住所" dataDxfId="3"/>
    <tableColumn id="15" xr3:uid="{9FD9D368-D9D9-420D-91B0-7C72E6D81366}" name="勤務先_x000a_電話番号"/>
    <tableColumn id="28" xr3:uid="{A61EB3FC-8CC5-498A-B783-734F6CF8CF44}" name="勤務先FAX" dataDxfId="2"/>
    <tableColumn id="16" xr3:uid="{5E691A97-8BC6-4491-B8E8-B3BECC7C2151}" name="自宅〒"/>
    <tableColumn id="17" xr3:uid="{884F7209-390B-480C-9135-5BF2E74A3318}" name="自宅住所" dataDxfId="1"/>
    <tableColumn id="18" xr3:uid="{1744BE62-F629-4CA6-A2CA-88945E7B8958}" name="自宅_x000a_電話番号"/>
    <tableColumn id="19" xr3:uid="{351FA8E2-A009-40B7-A42A-07EE168E2E75}" name="携帯番号"/>
    <tableColumn id="25" xr3:uid="{8E213E71-24EF-4A4A-8ED6-0DE7B391388A}" name="email"/>
    <tableColumn id="23" xr3:uid="{7A053CDF-C236-4316-9411-3EE3E2886AEE}" name="役"/>
    <tableColumn id="29" xr3:uid="{509EF6FF-FB36-4640-97B5-D9014D2E7FFF}" name="医籍経過年数" dataDxfId="0"/>
    <tableColumn id="20" xr3:uid="{7C977BFE-20E5-4E27-BB17-9B58489D6288}" name="資格"/>
    <tableColumn id="21" xr3:uid="{0D8DD5F6-07A1-4A27-B7A4-773859C9A38A}" name="異動"/>
    <tableColumn id="22" xr3:uid="{CA941FFB-4E02-4859-99C4-370B79F2A190}" name="青森県眼科医会入会年月"/>
    <tableColumn id="26" xr3:uid="{91423B99-B700-4733-9713-5E99CABF2045}" name="HPのID"/>
    <tableColumn id="27" xr3:uid="{20AE8AD9-DDB0-410D-8935-0B1C9AB8DBB3}" name="HPのパスワード"/>
    <tableColumn id="30" xr3:uid="{B01B2908-2852-4CA0-ACEE-00F253F16F25}" name="会費納入状況"/>
  </tableColumns>
  <tableStyleInfo name="TableStyleMedium2"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8" Type="http://schemas.openxmlformats.org/officeDocument/2006/relationships/hyperlink" Target="mailto:ozaki-hiroyuki@hirosaki-u.ac.jp" TargetMode="External"/><Relationship Id="rId13" Type="http://schemas.openxmlformats.org/officeDocument/2006/relationships/hyperlink" Target="mailto:yasumiya026@yahoo.co.jp" TargetMode="External"/><Relationship Id="rId18" Type="http://schemas.openxmlformats.org/officeDocument/2006/relationships/table" Target="../tables/table1.xml"/><Relationship Id="rId3" Type="http://schemas.openxmlformats.org/officeDocument/2006/relationships/hyperlink" Target="mailto:yamabey14@gmail.com" TargetMode="External"/><Relationship Id="rId7" Type="http://schemas.openxmlformats.org/officeDocument/2006/relationships/hyperlink" Target="mailto:yacchig0d4i3s7w@yahoo.co.jp" TargetMode="External"/><Relationship Id="rId12" Type="http://schemas.openxmlformats.org/officeDocument/2006/relationships/hyperlink" Target="mailto:takahashi-ganka@nifty.com" TargetMode="External"/><Relationship Id="rId17" Type="http://schemas.openxmlformats.org/officeDocument/2006/relationships/printerSettings" Target="../printerSettings/printerSettings2.bin"/><Relationship Id="rId2" Type="http://schemas.openxmlformats.org/officeDocument/2006/relationships/hyperlink" Target="mailto:tanab.b.med.0630@gmail.com" TargetMode="External"/><Relationship Id="rId16" Type="http://schemas.openxmlformats.org/officeDocument/2006/relationships/hyperlink" Target="mailto:hideki_kataoka@med.pref.aomori.jp" TargetMode="External"/><Relationship Id="rId1" Type="http://schemas.openxmlformats.org/officeDocument/2006/relationships/hyperlink" Target="mailto:kudo_takashi_80828@yahoo.co.jp" TargetMode="External"/><Relationship Id="rId6" Type="http://schemas.openxmlformats.org/officeDocument/2006/relationships/hyperlink" Target="mailto:y.o.bdm0126@gmail.com" TargetMode="External"/><Relationship Id="rId11" Type="http://schemas.openxmlformats.org/officeDocument/2006/relationships/hyperlink" Target="mailto:metoki-eyeclinic@kdp.biglobe.ne.jp" TargetMode="External"/><Relationship Id="rId5" Type="http://schemas.openxmlformats.org/officeDocument/2006/relationships/hyperlink" Target="mailto:imura-16@hirosaki-u.ac.jp" TargetMode="External"/><Relationship Id="rId15" Type="http://schemas.openxmlformats.org/officeDocument/2006/relationships/hyperlink" Target="mailto:azuma@heiwa-hp.or.jp" TargetMode="External"/><Relationship Id="rId10" Type="http://schemas.openxmlformats.org/officeDocument/2006/relationships/hyperlink" Target="mailto:namitaka@f2.dion.ne.jp" TargetMode="External"/><Relationship Id="rId4" Type="http://schemas.openxmlformats.org/officeDocument/2006/relationships/hyperlink" Target="mailto:kurosaka1128@hirosaki-u.ac.jp" TargetMode="External"/><Relationship Id="rId9" Type="http://schemas.openxmlformats.org/officeDocument/2006/relationships/hyperlink" Target="mailto:chihirok@vm01.vaio.ne.jp" TargetMode="External"/><Relationship Id="rId14" Type="http://schemas.openxmlformats.org/officeDocument/2006/relationships/hyperlink" Target="mailto:miz@mizutani-ganka.jp"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A6EBB7-7AF3-4ECB-B075-FAFA0DBF5E38}">
  <sheetPr codeName="Sheet1"/>
  <dimension ref="A1:A16"/>
  <sheetViews>
    <sheetView workbookViewId="0">
      <selection activeCell="D12" sqref="D12"/>
    </sheetView>
  </sheetViews>
  <sheetFormatPr defaultRowHeight="18"/>
  <sheetData>
    <row r="1" spans="1:1">
      <c r="A1" t="s">
        <v>0</v>
      </c>
    </row>
    <row r="2" spans="1:1">
      <c r="A2" t="s">
        <v>14</v>
      </c>
    </row>
    <row r="3" spans="1:1">
      <c r="A3" t="s">
        <v>1</v>
      </c>
    </row>
    <row r="4" spans="1:1">
      <c r="A4" t="s">
        <v>347</v>
      </c>
    </row>
    <row r="5" spans="1:1">
      <c r="A5" t="s">
        <v>2</v>
      </c>
    </row>
    <row r="6" spans="1:1">
      <c r="A6" t="s">
        <v>3</v>
      </c>
    </row>
    <row r="7" spans="1:1">
      <c r="A7" t="s">
        <v>348</v>
      </c>
    </row>
    <row r="8" spans="1:1">
      <c r="A8" t="s">
        <v>349</v>
      </c>
    </row>
    <row r="9" spans="1:1">
      <c r="A9" t="s">
        <v>4</v>
      </c>
    </row>
    <row r="12" spans="1:1">
      <c r="A12" t="s">
        <v>5</v>
      </c>
    </row>
    <row r="13" spans="1:1">
      <c r="A13" t="s">
        <v>6</v>
      </c>
    </row>
    <row r="15" spans="1:1">
      <c r="A15" t="s">
        <v>7</v>
      </c>
    </row>
    <row r="16" spans="1:1">
      <c r="A16" t="s">
        <v>8</v>
      </c>
    </row>
  </sheetData>
  <phoneticPr fontId="4"/>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94AA9C-A045-493C-8F4B-CFBB2C64342A}">
  <sheetPr codeName="Sheet3"/>
  <dimension ref="B2"/>
  <sheetViews>
    <sheetView workbookViewId="0">
      <selection activeCell="P15" sqref="P15"/>
    </sheetView>
  </sheetViews>
  <sheetFormatPr defaultRowHeight="18"/>
  <cols>
    <col min="6" max="6" width="30.58203125" customWidth="1"/>
    <col min="8" max="9" width="100.58203125" customWidth="1"/>
  </cols>
  <sheetData>
    <row r="2" spans="2:2" ht="20">
      <c r="B2" s="2"/>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ain">
                <anchor moveWithCells="1" sizeWithCells="1">
                  <from>
                    <xdr:col>1</xdr:col>
                    <xdr:colOff>19050</xdr:colOff>
                    <xdr:row>1</xdr:row>
                    <xdr:rowOff>25400</xdr:rowOff>
                  </from>
                  <to>
                    <xdr:col>6</xdr:col>
                    <xdr:colOff>596900</xdr:colOff>
                    <xdr:row>5</xdr:row>
                    <xdr:rowOff>165100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FEFA9-BAAA-408D-B094-FF6A40AA1F76}">
  <sheetPr codeName="Sheet2"/>
  <dimension ref="A1:C5"/>
  <sheetViews>
    <sheetView workbookViewId="0">
      <selection activeCell="B2" sqref="B2"/>
    </sheetView>
  </sheetViews>
  <sheetFormatPr defaultRowHeight="18"/>
  <cols>
    <col min="1" max="1" width="56.75" bestFit="1" customWidth="1"/>
    <col min="2" max="2" width="51.9140625" customWidth="1"/>
    <col min="3" max="3" width="48" bestFit="1" customWidth="1"/>
  </cols>
  <sheetData>
    <row r="1" spans="1:3">
      <c r="A1" s="34" t="s">
        <v>9</v>
      </c>
      <c r="B1" s="34" t="s">
        <v>10</v>
      </c>
      <c r="C1" t="s">
        <v>11</v>
      </c>
    </row>
    <row r="2" spans="1:3">
      <c r="A2" s="1" t="s">
        <v>12</v>
      </c>
      <c r="B2" t="s">
        <v>388</v>
      </c>
    </row>
    <row r="3" spans="1:3">
      <c r="A3" t="s">
        <v>13</v>
      </c>
      <c r="B3" t="s">
        <v>389</v>
      </c>
    </row>
    <row r="4" spans="1:3">
      <c r="A4" t="s">
        <v>1113</v>
      </c>
      <c r="B4" t="s">
        <v>1111</v>
      </c>
    </row>
    <row r="5" spans="1:3">
      <c r="A5" t="s">
        <v>1112</v>
      </c>
      <c r="B5" t="s">
        <v>1109</v>
      </c>
      <c r="C5" t="s">
        <v>1110</v>
      </c>
    </row>
  </sheetData>
  <phoneticPr fontId="4"/>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8122F3-F2B3-434B-A01D-D2085F5F0186}">
  <sheetPr codeName="Sheet4"/>
  <dimension ref="A1:I9"/>
  <sheetViews>
    <sheetView topLeftCell="C1" workbookViewId="0">
      <selection activeCell="A2" sqref="A2:I10"/>
    </sheetView>
  </sheetViews>
  <sheetFormatPr defaultRowHeight="18"/>
  <cols>
    <col min="1" max="1" width="16" bestFit="1" customWidth="1"/>
    <col min="2" max="2" width="11.25" bestFit="1" customWidth="1"/>
    <col min="3" max="3" width="21.08203125" bestFit="1" customWidth="1"/>
    <col min="4" max="4" width="6.5" bestFit="1" customWidth="1"/>
    <col min="5" max="5" width="8.08203125" bestFit="1" customWidth="1"/>
    <col min="6" max="6" width="30.6640625" customWidth="1"/>
    <col min="7" max="7" width="6.5" bestFit="1" customWidth="1"/>
    <col min="8" max="9" width="100.6640625" customWidth="1"/>
  </cols>
  <sheetData>
    <row r="1" spans="1:9">
      <c r="A1" s="35" t="s">
        <v>375</v>
      </c>
      <c r="B1" s="35" t="s">
        <v>376</v>
      </c>
      <c r="C1" s="35" t="s">
        <v>377</v>
      </c>
      <c r="D1" s="35" t="s">
        <v>378</v>
      </c>
      <c r="E1" s="35" t="s">
        <v>379</v>
      </c>
      <c r="F1" s="35" t="s">
        <v>380</v>
      </c>
      <c r="G1" s="35" t="s">
        <v>381</v>
      </c>
      <c r="H1" s="35" t="s">
        <v>382</v>
      </c>
      <c r="I1" t="s">
        <v>383</v>
      </c>
    </row>
    <row r="2" spans="1:9">
      <c r="A2" t="s">
        <v>1108</v>
      </c>
      <c r="B2" t="s">
        <v>363</v>
      </c>
      <c r="C2" t="s">
        <v>384</v>
      </c>
      <c r="D2" t="s">
        <v>350</v>
      </c>
      <c r="E2" t="s">
        <v>351</v>
      </c>
      <c r="F2" t="s">
        <v>385</v>
      </c>
      <c r="G2">
        <v>3</v>
      </c>
      <c r="H2" t="s">
        <v>386</v>
      </c>
      <c r="I2" s="36" t="s">
        <v>352</v>
      </c>
    </row>
    <row r="3" spans="1:9">
      <c r="A3" t="s">
        <v>1108</v>
      </c>
      <c r="B3" t="s">
        <v>363</v>
      </c>
      <c r="C3" t="s">
        <v>1116</v>
      </c>
      <c r="D3" t="s">
        <v>350</v>
      </c>
      <c r="E3" t="s">
        <v>351</v>
      </c>
      <c r="F3" t="s">
        <v>1117</v>
      </c>
      <c r="G3">
        <v>10</v>
      </c>
      <c r="H3" t="s">
        <v>1118</v>
      </c>
      <c r="I3" s="36" t="s">
        <v>352</v>
      </c>
    </row>
    <row r="4" spans="1:9" ht="180">
      <c r="A4" t="s">
        <v>1108</v>
      </c>
      <c r="B4" t="s">
        <v>363</v>
      </c>
      <c r="C4" t="s">
        <v>1116</v>
      </c>
      <c r="D4" t="s">
        <v>353</v>
      </c>
      <c r="E4" t="s">
        <v>354</v>
      </c>
      <c r="F4" t="s">
        <v>1119</v>
      </c>
      <c r="G4">
        <v>119</v>
      </c>
      <c r="H4" t="s">
        <v>1120</v>
      </c>
      <c r="I4" s="58" t="s">
        <v>1121</v>
      </c>
    </row>
    <row r="5" spans="1:9">
      <c r="A5" t="s">
        <v>1108</v>
      </c>
      <c r="B5" t="s">
        <v>363</v>
      </c>
      <c r="C5" t="s">
        <v>374</v>
      </c>
      <c r="D5" t="s">
        <v>353</v>
      </c>
      <c r="E5" t="s">
        <v>354</v>
      </c>
      <c r="F5" t="s">
        <v>357</v>
      </c>
      <c r="G5">
        <v>131</v>
      </c>
      <c r="H5" t="s">
        <v>358</v>
      </c>
      <c r="I5" s="36" t="s">
        <v>352</v>
      </c>
    </row>
    <row r="6" spans="1:9">
      <c r="A6" t="s">
        <v>1108</v>
      </c>
      <c r="B6" t="s">
        <v>363</v>
      </c>
      <c r="C6" t="s">
        <v>374</v>
      </c>
      <c r="D6" t="s">
        <v>353</v>
      </c>
      <c r="E6" t="s">
        <v>354</v>
      </c>
      <c r="F6" t="s">
        <v>355</v>
      </c>
      <c r="G6">
        <v>118</v>
      </c>
      <c r="H6" t="s">
        <v>356</v>
      </c>
      <c r="I6" s="36" t="s">
        <v>387</v>
      </c>
    </row>
    <row r="7" spans="1:9">
      <c r="A7" t="s">
        <v>1108</v>
      </c>
      <c r="B7" t="s">
        <v>363</v>
      </c>
      <c r="C7" t="s">
        <v>374</v>
      </c>
      <c r="D7" t="s">
        <v>353</v>
      </c>
      <c r="E7" t="s">
        <v>351</v>
      </c>
      <c r="F7" t="s">
        <v>359</v>
      </c>
      <c r="G7">
        <v>151</v>
      </c>
      <c r="H7" t="s">
        <v>360</v>
      </c>
      <c r="I7" s="36" t="s">
        <v>352</v>
      </c>
    </row>
    <row r="8" spans="1:9">
      <c r="A8" t="s">
        <v>1108</v>
      </c>
      <c r="B8" t="s">
        <v>363</v>
      </c>
      <c r="C8" t="s">
        <v>374</v>
      </c>
      <c r="D8" t="s">
        <v>350</v>
      </c>
      <c r="E8" t="s">
        <v>351</v>
      </c>
      <c r="F8" t="s">
        <v>1114</v>
      </c>
      <c r="G8">
        <v>29</v>
      </c>
      <c r="H8" t="s">
        <v>1115</v>
      </c>
      <c r="I8" s="36" t="s">
        <v>352</v>
      </c>
    </row>
    <row r="9" spans="1:9">
      <c r="A9" t="s">
        <v>1108</v>
      </c>
      <c r="B9" t="s">
        <v>363</v>
      </c>
      <c r="C9" t="s">
        <v>374</v>
      </c>
      <c r="D9" t="s">
        <v>353</v>
      </c>
      <c r="E9" t="s">
        <v>351</v>
      </c>
      <c r="F9" t="s">
        <v>361</v>
      </c>
      <c r="G9">
        <v>162</v>
      </c>
      <c r="H9" t="s">
        <v>362</v>
      </c>
      <c r="I9" s="36" t="s">
        <v>352</v>
      </c>
    </row>
  </sheetData>
  <sortState xmlns:xlrd2="http://schemas.microsoft.com/office/spreadsheetml/2017/richdata2" ref="A2:I10">
    <sortCondition ref="A2"/>
    <sortCondition ref="C2"/>
    <sortCondition ref="F2"/>
  </sortState>
  <phoneticPr fontId="4"/>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ED9577-3808-432E-A988-604FE7DD6060}">
  <sheetPr codeName="Sheet13"/>
  <dimension ref="A1:AD144"/>
  <sheetViews>
    <sheetView tabSelected="1" workbookViewId="0">
      <pane xSplit="4" ySplit="3" topLeftCell="Y4" activePane="bottomRight" state="frozen"/>
      <selection pane="topRight" activeCell="E1" sqref="E1"/>
      <selection pane="bottomLeft" activeCell="A4" sqref="A4"/>
      <selection pane="bottomRight" activeCell="B1" sqref="B1"/>
    </sheetView>
  </sheetViews>
  <sheetFormatPr defaultRowHeight="18"/>
  <cols>
    <col min="1" max="1" width="8.4140625" style="7" bestFit="1" customWidth="1"/>
    <col min="2" max="2" width="6.5" style="7" customWidth="1"/>
    <col min="3" max="3" width="14.6640625" style="7" bestFit="1" customWidth="1"/>
    <col min="4" max="4" width="15.33203125" style="7" bestFit="1" customWidth="1"/>
    <col min="5" max="5" width="9.1640625" style="7" bestFit="1" customWidth="1"/>
    <col min="6" max="6" width="30.58203125" style="7" customWidth="1"/>
    <col min="7" max="7" width="17.5" style="7" bestFit="1" customWidth="1"/>
    <col min="8" max="9" width="100.58203125" style="7" customWidth="1"/>
    <col min="10" max="11" width="11.08203125" style="7" bestFit="1" customWidth="1"/>
    <col min="12" max="12" width="11.6640625" style="7" bestFit="1" customWidth="1"/>
    <col min="13" max="13" width="36.83203125" style="7" bestFit="1" customWidth="1"/>
    <col min="14" max="14" width="13.08203125" style="7" bestFit="1" customWidth="1"/>
    <col min="15" max="15" width="24.1640625" style="7" bestFit="1" customWidth="1"/>
    <col min="16" max="16" width="13.58203125" style="7" bestFit="1" customWidth="1"/>
    <col min="17" max="17" width="14.58203125" style="7" bestFit="1" customWidth="1"/>
    <col min="18" max="18" width="11" style="7" bestFit="1" customWidth="1"/>
    <col min="19" max="19" width="34.08203125" style="7" bestFit="1" customWidth="1"/>
    <col min="20" max="20" width="15.1640625" style="7" bestFit="1" customWidth="1"/>
    <col min="21" max="21" width="14.1640625" style="7" bestFit="1" customWidth="1"/>
    <col min="22" max="22" width="32.75" style="7" bestFit="1" customWidth="1"/>
    <col min="23" max="23" width="12.33203125" style="7" bestFit="1" customWidth="1"/>
    <col min="24" max="24" width="8.9140625" style="7" bestFit="1" customWidth="1"/>
    <col min="25" max="25" width="9.1640625" style="7" bestFit="1" customWidth="1"/>
    <col min="26" max="26" width="54.75" style="7" bestFit="1" customWidth="1"/>
    <col min="27" max="27" width="26.5" style="7" bestFit="1" customWidth="1"/>
    <col min="28" max="28" width="11.08203125" style="7" bestFit="1" customWidth="1"/>
    <col min="29" max="29" width="17.4140625" style="7" bestFit="1" customWidth="1"/>
    <col min="30" max="30" width="14.58203125" style="7" bestFit="1" customWidth="1"/>
    <col min="31" max="16384" width="8.6640625" style="7"/>
  </cols>
  <sheetData>
    <row r="1" spans="1:30" ht="22.5">
      <c r="B1" s="33" t="s">
        <v>1107</v>
      </c>
      <c r="M1" s="21">
        <f ca="1">TODAY()</f>
        <v>45537</v>
      </c>
      <c r="N1" s="7" t="s">
        <v>399</v>
      </c>
    </row>
    <row r="3" spans="1:30" ht="36">
      <c r="A3" s="3" t="s">
        <v>15</v>
      </c>
      <c r="B3" s="4" t="s">
        <v>16</v>
      </c>
      <c r="C3" s="4" t="s">
        <v>400</v>
      </c>
      <c r="D3" s="4" t="s">
        <v>401</v>
      </c>
      <c r="E3" s="4" t="s">
        <v>402</v>
      </c>
      <c r="F3" s="4" t="s">
        <v>403</v>
      </c>
      <c r="G3" s="4" t="s">
        <v>17</v>
      </c>
      <c r="H3" s="4" t="s">
        <v>404</v>
      </c>
      <c r="I3" s="37" t="s">
        <v>405</v>
      </c>
      <c r="J3" s="37" t="s">
        <v>406</v>
      </c>
      <c r="K3" s="37" t="s">
        <v>407</v>
      </c>
      <c r="L3" s="37" t="s">
        <v>408</v>
      </c>
      <c r="M3" s="4" t="s">
        <v>409</v>
      </c>
      <c r="N3" s="4" t="s">
        <v>410</v>
      </c>
      <c r="O3" s="4" t="s">
        <v>411</v>
      </c>
      <c r="P3" s="37" t="s">
        <v>412</v>
      </c>
      <c r="Q3" s="37" t="s">
        <v>413</v>
      </c>
      <c r="R3" s="4" t="s">
        <v>414</v>
      </c>
      <c r="S3" s="4" t="s">
        <v>415</v>
      </c>
      <c r="T3" s="37" t="s">
        <v>416</v>
      </c>
      <c r="U3" s="4" t="s">
        <v>417</v>
      </c>
      <c r="V3" s="5" t="s">
        <v>418</v>
      </c>
      <c r="W3" s="5" t="s">
        <v>419</v>
      </c>
      <c r="X3" s="31" t="s">
        <v>364</v>
      </c>
      <c r="Y3" s="38" t="s">
        <v>420</v>
      </c>
      <c r="Z3" s="5" t="s">
        <v>421</v>
      </c>
      <c r="AA3" s="6" t="s">
        <v>422</v>
      </c>
      <c r="AB3" s="7" t="s">
        <v>423</v>
      </c>
      <c r="AC3" s="7" t="s">
        <v>424</v>
      </c>
      <c r="AD3" s="7" t="s">
        <v>398</v>
      </c>
    </row>
    <row r="4" spans="1:30">
      <c r="A4" s="3" t="s">
        <v>425</v>
      </c>
      <c r="B4" s="4">
        <v>1</v>
      </c>
      <c r="C4" s="8" t="s">
        <v>426</v>
      </c>
      <c r="D4" s="8" t="s">
        <v>427</v>
      </c>
      <c r="E4" s="16" t="s">
        <v>18</v>
      </c>
      <c r="F4" s="10">
        <v>26762</v>
      </c>
      <c r="G4" s="11" t="str">
        <f t="shared" ref="G4:G36" si="0">DATESTRING(F4)</f>
        <v>昭和48年04月08日</v>
      </c>
      <c r="H4" s="12">
        <f t="shared" ref="H4:H67" ca="1" si="1">DATEDIF(F4,M$1,"Y")</f>
        <v>51</v>
      </c>
      <c r="I4" s="8">
        <v>396236</v>
      </c>
      <c r="J4" s="10">
        <v>35923</v>
      </c>
      <c r="K4" s="10">
        <v>40840</v>
      </c>
      <c r="L4" s="39"/>
      <c r="M4" s="8" t="s">
        <v>428</v>
      </c>
      <c r="N4" s="8" t="s">
        <v>429</v>
      </c>
      <c r="O4" s="13" t="s">
        <v>430</v>
      </c>
      <c r="P4" s="8" t="s">
        <v>19</v>
      </c>
      <c r="Q4" s="40" t="s">
        <v>365</v>
      </c>
      <c r="R4" s="8" t="s">
        <v>431</v>
      </c>
      <c r="S4" s="13" t="s">
        <v>432</v>
      </c>
      <c r="T4" s="14" t="s">
        <v>433</v>
      </c>
      <c r="U4" s="8"/>
      <c r="V4" s="41" t="s">
        <v>434</v>
      </c>
      <c r="W4" s="15" t="s">
        <v>435</v>
      </c>
      <c r="X4" s="7">
        <f ca="1">YEAR($M$1)-YEAR($J4)</f>
        <v>26</v>
      </c>
      <c r="Y4" s="15" t="s">
        <v>436</v>
      </c>
      <c r="AB4" s="7" t="s">
        <v>437</v>
      </c>
      <c r="AC4" s="7">
        <v>480408</v>
      </c>
    </row>
    <row r="5" spans="1:30">
      <c r="A5" s="3"/>
      <c r="B5" s="4">
        <v>2</v>
      </c>
      <c r="C5" s="8" t="s">
        <v>438</v>
      </c>
      <c r="D5" s="8" t="s">
        <v>20</v>
      </c>
      <c r="E5" s="16" t="s">
        <v>439</v>
      </c>
      <c r="F5" s="10">
        <v>22849</v>
      </c>
      <c r="G5" s="11" t="str">
        <f t="shared" si="0"/>
        <v>昭和37年07月22日</v>
      </c>
      <c r="H5" s="12">
        <f t="shared" ca="1" si="1"/>
        <v>62</v>
      </c>
      <c r="I5" s="8">
        <v>306105</v>
      </c>
      <c r="J5" s="10">
        <v>31922</v>
      </c>
      <c r="K5" s="10">
        <v>32185</v>
      </c>
      <c r="L5" s="39"/>
      <c r="M5" s="8" t="s">
        <v>21</v>
      </c>
      <c r="N5" s="8" t="s">
        <v>22</v>
      </c>
      <c r="O5" s="13" t="s">
        <v>23</v>
      </c>
      <c r="P5" s="8" t="s">
        <v>24</v>
      </c>
      <c r="Q5" s="8"/>
      <c r="R5" s="8" t="s">
        <v>440</v>
      </c>
      <c r="S5" s="13" t="s">
        <v>441</v>
      </c>
      <c r="T5" s="14" t="s">
        <v>442</v>
      </c>
      <c r="U5" s="8"/>
      <c r="V5" s="15"/>
      <c r="W5" s="15"/>
      <c r="X5" s="7">
        <f ca="1">YEAR($M$1)-YEAR($J5)</f>
        <v>37</v>
      </c>
      <c r="Y5" s="15" t="s">
        <v>443</v>
      </c>
      <c r="AB5" s="7" t="s">
        <v>444</v>
      </c>
      <c r="AC5" s="7" t="s">
        <v>445</v>
      </c>
    </row>
    <row r="6" spans="1:30">
      <c r="A6" s="3"/>
      <c r="B6" s="4">
        <v>3</v>
      </c>
      <c r="C6" s="8" t="s">
        <v>446</v>
      </c>
      <c r="D6" s="8" t="s">
        <v>25</v>
      </c>
      <c r="E6" s="4" t="s">
        <v>447</v>
      </c>
      <c r="F6" s="10">
        <v>17900</v>
      </c>
      <c r="G6" s="11" t="str">
        <f t="shared" si="0"/>
        <v>昭和24年01月02日</v>
      </c>
      <c r="H6" s="12">
        <f t="shared" ca="1" si="1"/>
        <v>75</v>
      </c>
      <c r="I6" s="8">
        <v>256089</v>
      </c>
      <c r="J6" s="10">
        <v>29402</v>
      </c>
      <c r="K6" s="10"/>
      <c r="L6" s="39"/>
      <c r="M6" s="8" t="s">
        <v>448</v>
      </c>
      <c r="N6" s="8" t="s">
        <v>26</v>
      </c>
      <c r="O6" s="13" t="s">
        <v>449</v>
      </c>
      <c r="P6" s="8" t="s">
        <v>27</v>
      </c>
      <c r="Q6" s="8"/>
      <c r="R6" s="8" t="s">
        <v>26</v>
      </c>
      <c r="S6" s="13" t="s">
        <v>450</v>
      </c>
      <c r="T6" s="14" t="s">
        <v>451</v>
      </c>
      <c r="U6" s="8"/>
      <c r="V6" s="15"/>
      <c r="W6" s="15"/>
      <c r="X6" s="7">
        <f t="shared" ref="X6:X69" ca="1" si="2">YEAR($M$1)-YEAR($J6)</f>
        <v>44</v>
      </c>
      <c r="Y6" s="15" t="s">
        <v>443</v>
      </c>
      <c r="AB6" s="7" t="s">
        <v>452</v>
      </c>
      <c r="AC6" s="7" t="s">
        <v>453</v>
      </c>
    </row>
    <row r="7" spans="1:30" ht="36">
      <c r="A7" s="3"/>
      <c r="B7" s="4">
        <v>4</v>
      </c>
      <c r="C7" s="8" t="s">
        <v>454</v>
      </c>
      <c r="D7" s="8" t="s">
        <v>455</v>
      </c>
      <c r="E7" s="4" t="s">
        <v>447</v>
      </c>
      <c r="F7" s="10">
        <v>25437</v>
      </c>
      <c r="G7" s="11" t="str">
        <f t="shared" si="0"/>
        <v>昭和44年08月22日</v>
      </c>
      <c r="H7" s="12">
        <f t="shared" ca="1" si="1"/>
        <v>55</v>
      </c>
      <c r="I7" s="8">
        <v>370322</v>
      </c>
      <c r="J7" s="10">
        <v>34817</v>
      </c>
      <c r="K7" s="10"/>
      <c r="L7" s="39"/>
      <c r="M7" s="8" t="s">
        <v>28</v>
      </c>
      <c r="N7" s="8" t="s">
        <v>29</v>
      </c>
      <c r="O7" s="13" t="s">
        <v>456</v>
      </c>
      <c r="P7" s="8" t="s">
        <v>30</v>
      </c>
      <c r="Q7" s="8"/>
      <c r="R7" s="8" t="s">
        <v>457</v>
      </c>
      <c r="S7" s="13" t="s">
        <v>458</v>
      </c>
      <c r="T7" s="14" t="s">
        <v>459</v>
      </c>
      <c r="U7" s="8"/>
      <c r="V7" s="15"/>
      <c r="W7" s="15"/>
      <c r="X7" s="7">
        <f t="shared" ca="1" si="2"/>
        <v>29</v>
      </c>
      <c r="Y7" s="15" t="s">
        <v>436</v>
      </c>
      <c r="AB7" s="7" t="s">
        <v>460</v>
      </c>
      <c r="AC7" s="7">
        <v>370322</v>
      </c>
    </row>
    <row r="8" spans="1:30" ht="54">
      <c r="A8" s="3"/>
      <c r="B8" s="4">
        <v>5</v>
      </c>
      <c r="C8" s="8" t="s">
        <v>461</v>
      </c>
      <c r="D8" s="8" t="s">
        <v>31</v>
      </c>
      <c r="E8" s="4" t="s">
        <v>32</v>
      </c>
      <c r="F8" s="10">
        <v>14138</v>
      </c>
      <c r="G8" s="11" t="str">
        <f t="shared" si="0"/>
        <v>昭和13年09月15日</v>
      </c>
      <c r="H8" s="12">
        <f t="shared" ca="1" si="1"/>
        <v>85</v>
      </c>
      <c r="I8" s="8">
        <v>191382</v>
      </c>
      <c r="J8" s="10">
        <v>24253</v>
      </c>
      <c r="K8" s="10"/>
      <c r="L8" s="39"/>
      <c r="M8" s="13" t="s">
        <v>462</v>
      </c>
      <c r="N8" s="8" t="s">
        <v>463</v>
      </c>
      <c r="O8" s="13" t="s">
        <v>464</v>
      </c>
      <c r="P8" s="8" t="s">
        <v>465</v>
      </c>
      <c r="Q8" s="8"/>
      <c r="R8" s="8" t="s">
        <v>466</v>
      </c>
      <c r="S8" s="13" t="s">
        <v>467</v>
      </c>
      <c r="T8" s="14" t="s">
        <v>468</v>
      </c>
      <c r="U8" s="8"/>
      <c r="V8" s="15"/>
      <c r="W8" s="15"/>
      <c r="X8" s="7">
        <f t="shared" ca="1" si="2"/>
        <v>58</v>
      </c>
      <c r="Y8" s="15" t="s">
        <v>469</v>
      </c>
      <c r="Z8" s="7" t="s">
        <v>470</v>
      </c>
      <c r="AB8" s="7" t="s">
        <v>471</v>
      </c>
      <c r="AC8" s="7" t="s">
        <v>472</v>
      </c>
    </row>
    <row r="9" spans="1:30" ht="36">
      <c r="A9" s="3"/>
      <c r="B9" s="4">
        <v>6</v>
      </c>
      <c r="C9" s="8" t="s">
        <v>473</v>
      </c>
      <c r="D9" s="8" t="s">
        <v>33</v>
      </c>
      <c r="E9" s="4" t="s">
        <v>32</v>
      </c>
      <c r="F9" s="10">
        <v>27165</v>
      </c>
      <c r="G9" s="11" t="str">
        <f t="shared" si="0"/>
        <v>昭和49年05月16日</v>
      </c>
      <c r="H9" s="12">
        <f t="shared" ca="1" si="1"/>
        <v>50</v>
      </c>
      <c r="I9" s="8">
        <v>419686</v>
      </c>
      <c r="J9" s="10">
        <v>37025</v>
      </c>
      <c r="K9" s="10">
        <v>37041</v>
      </c>
      <c r="L9" s="39"/>
      <c r="M9" s="8" t="s">
        <v>474</v>
      </c>
      <c r="N9" s="8" t="s">
        <v>475</v>
      </c>
      <c r="O9" s="13" t="s">
        <v>476</v>
      </c>
      <c r="P9" s="8" t="s">
        <v>34</v>
      </c>
      <c r="Q9" s="8"/>
      <c r="R9" s="8" t="s">
        <v>475</v>
      </c>
      <c r="S9" s="13" t="s">
        <v>35</v>
      </c>
      <c r="T9" s="14" t="s">
        <v>477</v>
      </c>
      <c r="U9" s="8"/>
      <c r="V9" s="17"/>
      <c r="W9" s="17" t="s">
        <v>435</v>
      </c>
      <c r="X9" s="7">
        <f t="shared" ca="1" si="2"/>
        <v>23</v>
      </c>
      <c r="Y9" s="17" t="s">
        <v>443</v>
      </c>
      <c r="AB9" s="7" t="s">
        <v>478</v>
      </c>
      <c r="AC9" s="7">
        <v>19740516</v>
      </c>
    </row>
    <row r="10" spans="1:30">
      <c r="A10" s="3"/>
      <c r="B10" s="4">
        <v>7</v>
      </c>
      <c r="C10" s="8" t="s">
        <v>479</v>
      </c>
      <c r="D10" s="8" t="s">
        <v>36</v>
      </c>
      <c r="E10" s="9" t="s">
        <v>18</v>
      </c>
      <c r="F10" s="10">
        <v>20878</v>
      </c>
      <c r="G10" s="11" t="str">
        <f t="shared" si="0"/>
        <v>昭和32年02月27日</v>
      </c>
      <c r="H10" s="12">
        <f t="shared" ca="1" si="1"/>
        <v>67</v>
      </c>
      <c r="I10" s="8">
        <v>262364</v>
      </c>
      <c r="J10" s="10">
        <v>29762</v>
      </c>
      <c r="K10" s="10"/>
      <c r="L10" s="39"/>
      <c r="M10" s="8" t="s">
        <v>37</v>
      </c>
      <c r="N10" s="18" t="s">
        <v>480</v>
      </c>
      <c r="O10" s="19" t="s">
        <v>38</v>
      </c>
      <c r="P10" s="20" t="s">
        <v>39</v>
      </c>
      <c r="Q10" s="20"/>
      <c r="R10" s="8" t="s">
        <v>40</v>
      </c>
      <c r="S10" s="13" t="s">
        <v>481</v>
      </c>
      <c r="T10" s="14" t="s">
        <v>482</v>
      </c>
      <c r="U10" s="8"/>
      <c r="V10" s="17"/>
      <c r="W10" s="17"/>
      <c r="X10" s="7">
        <f t="shared" ca="1" si="2"/>
        <v>43</v>
      </c>
      <c r="Y10" s="17" t="s">
        <v>436</v>
      </c>
      <c r="AB10" s="7" t="s">
        <v>483</v>
      </c>
      <c r="AC10" s="7">
        <v>262364</v>
      </c>
    </row>
    <row r="11" spans="1:30" ht="36">
      <c r="A11" s="3"/>
      <c r="B11" s="4">
        <f>B10+1</f>
        <v>8</v>
      </c>
      <c r="C11" s="8" t="s">
        <v>484</v>
      </c>
      <c r="D11" s="8" t="s">
        <v>485</v>
      </c>
      <c r="E11" s="9" t="s">
        <v>447</v>
      </c>
      <c r="F11" s="10"/>
      <c r="G11" s="11">
        <v>35783</v>
      </c>
      <c r="H11" s="12">
        <f ca="1">DATEDIF(F11,M$1,"Y")</f>
        <v>124</v>
      </c>
      <c r="I11" s="8">
        <v>587036</v>
      </c>
      <c r="J11" s="10">
        <v>44644</v>
      </c>
      <c r="K11" s="10">
        <v>45408</v>
      </c>
      <c r="L11" s="39"/>
      <c r="M11" s="8" t="s">
        <v>486</v>
      </c>
      <c r="N11" s="18" t="s">
        <v>487</v>
      </c>
      <c r="O11" s="19" t="s">
        <v>488</v>
      </c>
      <c r="P11" s="20" t="s">
        <v>489</v>
      </c>
      <c r="Q11" s="20"/>
      <c r="R11" s="8" t="s">
        <v>490</v>
      </c>
      <c r="S11" s="13" t="s">
        <v>491</v>
      </c>
      <c r="T11" s="14"/>
      <c r="U11" s="14" t="s">
        <v>492</v>
      </c>
      <c r="V11" s="42" t="s">
        <v>493</v>
      </c>
      <c r="W11" s="17"/>
      <c r="X11" s="7">
        <f t="shared" ca="1" si="2"/>
        <v>2</v>
      </c>
      <c r="Y11" s="43" t="s">
        <v>494</v>
      </c>
      <c r="AB11" s="44" t="s">
        <v>495</v>
      </c>
      <c r="AC11" s="44" t="s">
        <v>390</v>
      </c>
    </row>
    <row r="12" spans="1:30">
      <c r="A12" s="3"/>
      <c r="B12" s="4">
        <v>8</v>
      </c>
      <c r="C12" s="8" t="s">
        <v>496</v>
      </c>
      <c r="D12" s="8" t="s">
        <v>497</v>
      </c>
      <c r="E12" s="4" t="s">
        <v>32</v>
      </c>
      <c r="F12" s="10">
        <v>19275</v>
      </c>
      <c r="G12" s="11" t="str">
        <f t="shared" si="0"/>
        <v>昭和27年10月08日</v>
      </c>
      <c r="H12" s="12">
        <f t="shared" ca="1" si="1"/>
        <v>71</v>
      </c>
      <c r="I12" s="8">
        <v>236356</v>
      </c>
      <c r="J12" s="10">
        <v>28275</v>
      </c>
      <c r="K12" s="10"/>
      <c r="L12" s="39"/>
      <c r="M12" s="8" t="s">
        <v>498</v>
      </c>
      <c r="N12" s="8" t="s">
        <v>41</v>
      </c>
      <c r="O12" s="13" t="s">
        <v>42</v>
      </c>
      <c r="P12" s="8" t="s">
        <v>43</v>
      </c>
      <c r="Q12" s="8"/>
      <c r="R12" s="8" t="s">
        <v>44</v>
      </c>
      <c r="S12" s="13" t="s">
        <v>45</v>
      </c>
      <c r="T12" s="14" t="s">
        <v>499</v>
      </c>
      <c r="U12" s="8"/>
      <c r="V12" s="15"/>
      <c r="W12" s="15"/>
      <c r="X12" s="7">
        <f t="shared" ca="1" si="2"/>
        <v>47</v>
      </c>
      <c r="Y12" s="15" t="s">
        <v>443</v>
      </c>
      <c r="AB12" s="7" t="s">
        <v>500</v>
      </c>
      <c r="AC12" s="7" t="s">
        <v>501</v>
      </c>
    </row>
    <row r="13" spans="1:30">
      <c r="A13" s="3"/>
      <c r="B13" s="4">
        <v>9</v>
      </c>
      <c r="C13" s="8" t="s">
        <v>502</v>
      </c>
      <c r="D13" s="8" t="s">
        <v>503</v>
      </c>
      <c r="E13" s="4" t="s">
        <v>447</v>
      </c>
      <c r="F13" s="10">
        <v>26812</v>
      </c>
      <c r="G13" s="11" t="str">
        <f t="shared" si="0"/>
        <v>昭和48年05月28日</v>
      </c>
      <c r="H13" s="12">
        <f t="shared" ca="1" si="1"/>
        <v>51</v>
      </c>
      <c r="I13" s="8">
        <v>392821</v>
      </c>
      <c r="J13" s="10">
        <v>35912</v>
      </c>
      <c r="K13" s="10"/>
      <c r="L13" s="39"/>
      <c r="M13" s="8" t="s">
        <v>504</v>
      </c>
      <c r="N13" s="8" t="s">
        <v>505</v>
      </c>
      <c r="O13" s="13" t="s">
        <v>506</v>
      </c>
      <c r="P13" s="8" t="s">
        <v>507</v>
      </c>
      <c r="Q13" s="8"/>
      <c r="R13" s="8" t="s">
        <v>508</v>
      </c>
      <c r="S13" s="13" t="s">
        <v>509</v>
      </c>
      <c r="T13" s="14"/>
      <c r="U13" s="8" t="s">
        <v>510</v>
      </c>
      <c r="V13" s="17"/>
      <c r="W13" s="17"/>
      <c r="X13" s="7">
        <f t="shared" ca="1" si="2"/>
        <v>26</v>
      </c>
      <c r="Y13" s="43" t="s">
        <v>511</v>
      </c>
      <c r="AA13" s="21">
        <v>44713</v>
      </c>
      <c r="AB13" s="7" t="s">
        <v>512</v>
      </c>
      <c r="AC13" s="7" t="s">
        <v>513</v>
      </c>
    </row>
    <row r="14" spans="1:30" ht="36">
      <c r="A14" s="3"/>
      <c r="B14" s="4">
        <v>10</v>
      </c>
      <c r="C14" s="8" t="s">
        <v>514</v>
      </c>
      <c r="D14" s="8" t="s">
        <v>46</v>
      </c>
      <c r="E14" s="9" t="s">
        <v>18</v>
      </c>
      <c r="F14" s="10">
        <v>21844</v>
      </c>
      <c r="G14" s="11" t="str">
        <f t="shared" si="0"/>
        <v>昭和34年10月21日</v>
      </c>
      <c r="H14" s="12">
        <f t="shared" ca="1" si="1"/>
        <v>64</v>
      </c>
      <c r="I14" s="8">
        <v>293431</v>
      </c>
      <c r="J14" s="10">
        <v>31201</v>
      </c>
      <c r="K14" s="10">
        <v>31723</v>
      </c>
      <c r="L14" s="39"/>
      <c r="M14" s="8" t="s">
        <v>515</v>
      </c>
      <c r="N14" s="8" t="s">
        <v>516</v>
      </c>
      <c r="O14" s="13" t="s">
        <v>517</v>
      </c>
      <c r="P14" s="8" t="s">
        <v>47</v>
      </c>
      <c r="Q14" s="8"/>
      <c r="R14" s="8" t="s">
        <v>48</v>
      </c>
      <c r="S14" s="13" t="s">
        <v>49</v>
      </c>
      <c r="T14" s="14" t="s">
        <v>518</v>
      </c>
      <c r="U14" s="8"/>
      <c r="V14" s="15"/>
      <c r="W14" s="15"/>
      <c r="X14" s="7">
        <f t="shared" ca="1" si="2"/>
        <v>39</v>
      </c>
      <c r="Y14" s="15" t="s">
        <v>443</v>
      </c>
      <c r="AB14" s="7" t="s">
        <v>519</v>
      </c>
      <c r="AC14" s="7">
        <v>19591021</v>
      </c>
    </row>
    <row r="15" spans="1:30">
      <c r="A15" s="3"/>
      <c r="B15" s="4">
        <v>11</v>
      </c>
      <c r="C15" s="8" t="s">
        <v>520</v>
      </c>
      <c r="D15" s="8" t="s">
        <v>50</v>
      </c>
      <c r="E15" s="9" t="s">
        <v>439</v>
      </c>
      <c r="F15" s="10">
        <v>22687</v>
      </c>
      <c r="G15" s="11" t="str">
        <f t="shared" si="0"/>
        <v>昭和37年02月10日</v>
      </c>
      <c r="H15" s="12">
        <f t="shared" ca="1" si="1"/>
        <v>62</v>
      </c>
      <c r="I15" s="8">
        <v>296460</v>
      </c>
      <c r="J15" s="10">
        <v>31554</v>
      </c>
      <c r="K15" s="10">
        <v>32185</v>
      </c>
      <c r="L15" s="39"/>
      <c r="M15" s="8" t="s">
        <v>521</v>
      </c>
      <c r="N15" s="8" t="s">
        <v>51</v>
      </c>
      <c r="O15" s="13" t="s">
        <v>52</v>
      </c>
      <c r="P15" s="8" t="s">
        <v>53</v>
      </c>
      <c r="Q15" s="8"/>
      <c r="R15" s="8" t="s">
        <v>54</v>
      </c>
      <c r="S15" s="13" t="s">
        <v>55</v>
      </c>
      <c r="T15" s="14" t="s">
        <v>56</v>
      </c>
      <c r="U15" s="8"/>
      <c r="V15" s="17"/>
      <c r="W15" s="17"/>
      <c r="X15" s="7">
        <f t="shared" ca="1" si="2"/>
        <v>38</v>
      </c>
      <c r="Y15" s="17" t="s">
        <v>443</v>
      </c>
      <c r="AB15" s="7" t="s">
        <v>522</v>
      </c>
      <c r="AC15" s="7" t="s">
        <v>523</v>
      </c>
    </row>
    <row r="16" spans="1:30">
      <c r="A16" s="3"/>
      <c r="B16" s="4">
        <v>12</v>
      </c>
      <c r="C16" s="8" t="s">
        <v>524</v>
      </c>
      <c r="D16" s="8" t="s">
        <v>57</v>
      </c>
      <c r="E16" s="4" t="s">
        <v>447</v>
      </c>
      <c r="F16" s="10">
        <v>22239</v>
      </c>
      <c r="G16" s="11" t="str">
        <f t="shared" si="0"/>
        <v>昭和35年11月19日</v>
      </c>
      <c r="H16" s="12">
        <f t="shared" ca="1" si="1"/>
        <v>63</v>
      </c>
      <c r="I16" s="8">
        <v>293888</v>
      </c>
      <c r="J16" s="10">
        <v>31204</v>
      </c>
      <c r="K16" s="10">
        <v>31741</v>
      </c>
      <c r="L16" s="39"/>
      <c r="M16" s="8" t="s">
        <v>58</v>
      </c>
      <c r="N16" s="8" t="s">
        <v>59</v>
      </c>
      <c r="O16" s="13" t="s">
        <v>60</v>
      </c>
      <c r="P16" s="8" t="s">
        <v>61</v>
      </c>
      <c r="Q16" s="8"/>
      <c r="R16" s="8" t="s">
        <v>525</v>
      </c>
      <c r="S16" s="13" t="s">
        <v>526</v>
      </c>
      <c r="T16" s="14" t="s">
        <v>62</v>
      </c>
      <c r="U16" s="8"/>
      <c r="V16" s="15"/>
      <c r="W16" s="15" t="s">
        <v>527</v>
      </c>
      <c r="X16" s="7">
        <f t="shared" ca="1" si="2"/>
        <v>39</v>
      </c>
      <c r="Y16" s="15" t="s">
        <v>443</v>
      </c>
      <c r="AB16" s="7" t="s">
        <v>528</v>
      </c>
      <c r="AC16" s="7" t="s">
        <v>529</v>
      </c>
    </row>
    <row r="17" spans="1:29">
      <c r="A17" s="3"/>
      <c r="B17" s="4">
        <f>B16+1</f>
        <v>13</v>
      </c>
      <c r="C17" s="8" t="s">
        <v>530</v>
      </c>
      <c r="D17" s="8" t="s">
        <v>531</v>
      </c>
      <c r="E17" s="4" t="s">
        <v>447</v>
      </c>
      <c r="F17" s="10"/>
      <c r="G17" s="11">
        <v>30852</v>
      </c>
      <c r="H17" s="12">
        <f ca="1">DATEDIF(F17,M$1,"Y")</f>
        <v>124</v>
      </c>
      <c r="I17" s="8">
        <v>589735</v>
      </c>
      <c r="J17" s="10">
        <v>44648</v>
      </c>
      <c r="K17" s="10">
        <v>45408</v>
      </c>
      <c r="L17" s="39"/>
      <c r="M17" s="8" t="s">
        <v>486</v>
      </c>
      <c r="N17" s="8" t="s">
        <v>487</v>
      </c>
      <c r="O17" s="13" t="s">
        <v>532</v>
      </c>
      <c r="P17" s="8" t="s">
        <v>489</v>
      </c>
      <c r="Q17" s="8"/>
      <c r="R17" s="8" t="s">
        <v>533</v>
      </c>
      <c r="S17" s="13" t="s">
        <v>534</v>
      </c>
      <c r="T17" s="14"/>
      <c r="U17" s="8" t="s">
        <v>535</v>
      </c>
      <c r="V17" s="42" t="s">
        <v>536</v>
      </c>
      <c r="W17" s="17"/>
      <c r="X17" s="7">
        <f t="shared" ca="1" si="2"/>
        <v>2</v>
      </c>
      <c r="Y17" s="43" t="s">
        <v>494</v>
      </c>
      <c r="AB17" s="7" t="s">
        <v>537</v>
      </c>
      <c r="AC17" s="7" t="s">
        <v>391</v>
      </c>
    </row>
    <row r="18" spans="1:29" ht="36">
      <c r="A18" s="3"/>
      <c r="B18" s="4">
        <f>B16+1</f>
        <v>13</v>
      </c>
      <c r="C18" s="8" t="s">
        <v>538</v>
      </c>
      <c r="D18" s="8" t="s">
        <v>539</v>
      </c>
      <c r="E18" s="4" t="s">
        <v>439</v>
      </c>
      <c r="F18" s="10"/>
      <c r="G18" s="11">
        <v>35821</v>
      </c>
      <c r="H18" s="12">
        <f ca="1">DATEDIF(F18,M$1,"Y")</f>
        <v>124</v>
      </c>
      <c r="I18" s="8">
        <v>589731</v>
      </c>
      <c r="J18" s="10">
        <v>44648</v>
      </c>
      <c r="K18" s="10">
        <v>45408</v>
      </c>
      <c r="L18" s="39"/>
      <c r="M18" s="8" t="s">
        <v>486</v>
      </c>
      <c r="N18" s="8" t="s">
        <v>487</v>
      </c>
      <c r="O18" s="13" t="s">
        <v>532</v>
      </c>
      <c r="P18" s="8" t="s">
        <v>489</v>
      </c>
      <c r="Q18" s="8"/>
      <c r="R18" s="8" t="s">
        <v>540</v>
      </c>
      <c r="S18" s="13" t="s">
        <v>541</v>
      </c>
      <c r="T18" s="14"/>
      <c r="U18" s="8" t="s">
        <v>542</v>
      </c>
      <c r="V18" s="42" t="s">
        <v>543</v>
      </c>
      <c r="W18" s="17"/>
      <c r="X18" s="7">
        <f t="shared" ca="1" si="2"/>
        <v>2</v>
      </c>
      <c r="Y18" s="43" t="s">
        <v>494</v>
      </c>
      <c r="AB18" s="7" t="s">
        <v>544</v>
      </c>
      <c r="AC18" s="7" t="s">
        <v>392</v>
      </c>
    </row>
    <row r="19" spans="1:29" ht="36">
      <c r="A19" s="3" t="s">
        <v>545</v>
      </c>
      <c r="B19" s="4">
        <v>13</v>
      </c>
      <c r="C19" s="8" t="s">
        <v>546</v>
      </c>
      <c r="D19" s="8" t="s">
        <v>547</v>
      </c>
      <c r="E19" s="4" t="s">
        <v>447</v>
      </c>
      <c r="F19" s="10">
        <v>24414</v>
      </c>
      <c r="G19" s="11" t="str">
        <f t="shared" si="0"/>
        <v>昭和41年11月03日</v>
      </c>
      <c r="H19" s="12">
        <f t="shared" ca="1" si="1"/>
        <v>57</v>
      </c>
      <c r="I19" s="8">
        <v>345605</v>
      </c>
      <c r="J19" s="10">
        <v>33743</v>
      </c>
      <c r="K19" s="10">
        <v>34310</v>
      </c>
      <c r="L19" s="39"/>
      <c r="M19" s="8" t="s">
        <v>548</v>
      </c>
      <c r="N19" s="8" t="s">
        <v>63</v>
      </c>
      <c r="O19" s="13" t="s">
        <v>549</v>
      </c>
      <c r="P19" s="8" t="s">
        <v>64</v>
      </c>
      <c r="Q19" s="8"/>
      <c r="R19" s="8" t="s">
        <v>65</v>
      </c>
      <c r="S19" s="13" t="s">
        <v>550</v>
      </c>
      <c r="T19" s="14" t="s">
        <v>66</v>
      </c>
      <c r="U19" s="8"/>
      <c r="V19" s="17"/>
      <c r="W19" s="17"/>
      <c r="X19" s="7">
        <f t="shared" ca="1" si="2"/>
        <v>32</v>
      </c>
      <c r="Y19" s="17" t="s">
        <v>443</v>
      </c>
      <c r="AB19" s="7" t="s">
        <v>551</v>
      </c>
      <c r="AC19" s="7" t="s">
        <v>552</v>
      </c>
    </row>
    <row r="20" spans="1:29" ht="36">
      <c r="A20" s="3"/>
      <c r="B20" s="4">
        <v>14</v>
      </c>
      <c r="C20" s="8" t="s">
        <v>553</v>
      </c>
      <c r="D20" s="8" t="s">
        <v>67</v>
      </c>
      <c r="E20" s="9" t="s">
        <v>439</v>
      </c>
      <c r="F20" s="10">
        <v>25734</v>
      </c>
      <c r="G20" s="11" t="str">
        <f t="shared" si="0"/>
        <v>昭和45年06月15日</v>
      </c>
      <c r="H20" s="12">
        <f t="shared" ca="1" si="1"/>
        <v>54</v>
      </c>
      <c r="I20" s="8">
        <v>381181</v>
      </c>
      <c r="J20" s="10">
        <v>35192</v>
      </c>
      <c r="K20" s="10">
        <v>35479</v>
      </c>
      <c r="L20" s="39"/>
      <c r="M20" s="8" t="s">
        <v>68</v>
      </c>
      <c r="N20" s="8" t="s">
        <v>63</v>
      </c>
      <c r="O20" s="13" t="s">
        <v>549</v>
      </c>
      <c r="P20" s="8" t="s">
        <v>64</v>
      </c>
      <c r="Q20" s="8"/>
      <c r="R20" s="8" t="s">
        <v>63</v>
      </c>
      <c r="S20" s="13" t="s">
        <v>69</v>
      </c>
      <c r="T20" s="14" t="s">
        <v>70</v>
      </c>
      <c r="U20" s="8"/>
      <c r="V20" s="17"/>
      <c r="W20" s="17"/>
      <c r="X20" s="7">
        <f t="shared" ca="1" si="2"/>
        <v>28</v>
      </c>
      <c r="Y20" s="17" t="s">
        <v>436</v>
      </c>
      <c r="AB20" s="7" t="s">
        <v>554</v>
      </c>
      <c r="AC20" s="7">
        <v>450615</v>
      </c>
    </row>
    <row r="21" spans="1:29" ht="36">
      <c r="A21" s="3"/>
      <c r="B21" s="4">
        <v>15</v>
      </c>
      <c r="C21" s="8" t="s">
        <v>555</v>
      </c>
      <c r="D21" s="8" t="s">
        <v>556</v>
      </c>
      <c r="E21" s="4" t="s">
        <v>447</v>
      </c>
      <c r="F21" s="10">
        <v>24938</v>
      </c>
      <c r="G21" s="11" t="str">
        <f t="shared" si="0"/>
        <v>昭和43年04月10日</v>
      </c>
      <c r="H21" s="12">
        <f t="shared" ca="1" si="1"/>
        <v>56</v>
      </c>
      <c r="I21" s="8">
        <v>382174</v>
      </c>
      <c r="J21" s="10">
        <v>35195</v>
      </c>
      <c r="K21" s="10">
        <v>35384</v>
      </c>
      <c r="L21" s="39"/>
      <c r="M21" s="8" t="s">
        <v>557</v>
      </c>
      <c r="N21" s="8" t="s">
        <v>71</v>
      </c>
      <c r="O21" s="13" t="s">
        <v>72</v>
      </c>
      <c r="P21" s="8" t="s">
        <v>558</v>
      </c>
      <c r="Q21" s="45" t="s">
        <v>366</v>
      </c>
      <c r="R21" s="8" t="s">
        <v>559</v>
      </c>
      <c r="S21" s="13" t="s">
        <v>560</v>
      </c>
      <c r="T21" s="14" t="s">
        <v>561</v>
      </c>
      <c r="U21" s="8"/>
      <c r="V21" s="46" t="s">
        <v>562</v>
      </c>
      <c r="W21" s="17" t="s">
        <v>435</v>
      </c>
      <c r="X21" s="7">
        <f t="shared" ca="1" si="2"/>
        <v>28</v>
      </c>
      <c r="Y21" s="17" t="s">
        <v>436</v>
      </c>
      <c r="AB21" s="7" t="s">
        <v>563</v>
      </c>
      <c r="AC21" s="7" t="s">
        <v>564</v>
      </c>
    </row>
    <row r="22" spans="1:29" ht="36">
      <c r="A22" s="3"/>
      <c r="B22" s="4">
        <v>16</v>
      </c>
      <c r="C22" s="8" t="s">
        <v>565</v>
      </c>
      <c r="D22" s="8" t="s">
        <v>74</v>
      </c>
      <c r="E22" s="9" t="s">
        <v>439</v>
      </c>
      <c r="F22" s="10">
        <v>25271</v>
      </c>
      <c r="G22" s="11" t="str">
        <f t="shared" si="0"/>
        <v>昭和44年03月09日</v>
      </c>
      <c r="H22" s="12">
        <f t="shared" ca="1" si="1"/>
        <v>55</v>
      </c>
      <c r="I22" s="8">
        <v>381935</v>
      </c>
      <c r="J22" s="10">
        <v>35194</v>
      </c>
      <c r="K22" s="10">
        <v>35327</v>
      </c>
      <c r="L22" s="39" t="s">
        <v>566</v>
      </c>
      <c r="M22" s="8"/>
      <c r="N22" s="8"/>
      <c r="O22" s="13"/>
      <c r="P22" s="8"/>
      <c r="Q22" s="8"/>
      <c r="R22" s="8" t="s">
        <v>559</v>
      </c>
      <c r="S22" s="13" t="s">
        <v>560</v>
      </c>
      <c r="T22" s="14" t="s">
        <v>561</v>
      </c>
      <c r="U22" s="8"/>
      <c r="V22" s="17"/>
      <c r="W22" s="17"/>
      <c r="X22" s="7">
        <f t="shared" ca="1" si="2"/>
        <v>28</v>
      </c>
      <c r="Y22" s="17" t="s">
        <v>436</v>
      </c>
      <c r="AB22" s="7" t="s">
        <v>567</v>
      </c>
      <c r="AC22" s="7" t="s">
        <v>568</v>
      </c>
    </row>
    <row r="23" spans="1:29" ht="36">
      <c r="A23" s="3"/>
      <c r="B23" s="4">
        <v>17</v>
      </c>
      <c r="C23" s="8" t="s">
        <v>569</v>
      </c>
      <c r="D23" s="8" t="s">
        <v>75</v>
      </c>
      <c r="E23" s="16" t="s">
        <v>18</v>
      </c>
      <c r="F23" s="10">
        <v>30500</v>
      </c>
      <c r="G23" s="11" t="str">
        <f t="shared" si="0"/>
        <v>昭和58年07月03日</v>
      </c>
      <c r="H23" s="12">
        <f t="shared" ca="1" si="1"/>
        <v>41</v>
      </c>
      <c r="I23" s="8">
        <v>476193</v>
      </c>
      <c r="J23" s="10">
        <v>39899</v>
      </c>
      <c r="K23" s="10">
        <v>40638</v>
      </c>
      <c r="L23" s="39"/>
      <c r="M23" s="8" t="s">
        <v>570</v>
      </c>
      <c r="N23" s="8" t="s">
        <v>571</v>
      </c>
      <c r="O23" s="13" t="s">
        <v>572</v>
      </c>
      <c r="P23" s="8" t="s">
        <v>573</v>
      </c>
      <c r="Q23" s="8"/>
      <c r="R23" s="8" t="s">
        <v>76</v>
      </c>
      <c r="S23" s="13" t="s">
        <v>77</v>
      </c>
      <c r="T23" s="14" t="s">
        <v>78</v>
      </c>
      <c r="U23" s="8"/>
      <c r="V23" s="17"/>
      <c r="W23" s="17"/>
      <c r="X23" s="7">
        <f t="shared" ca="1" si="2"/>
        <v>15</v>
      </c>
      <c r="Y23" s="17" t="s">
        <v>436</v>
      </c>
      <c r="AB23" s="7" t="s">
        <v>574</v>
      </c>
      <c r="AC23" s="7" t="s">
        <v>575</v>
      </c>
    </row>
    <row r="24" spans="1:29">
      <c r="A24" s="3"/>
      <c r="B24" s="4">
        <v>18</v>
      </c>
      <c r="C24" s="8" t="s">
        <v>576</v>
      </c>
      <c r="D24" s="8" t="s">
        <v>79</v>
      </c>
      <c r="E24" s="4" t="s">
        <v>32</v>
      </c>
      <c r="F24" s="10">
        <v>23475</v>
      </c>
      <c r="G24" s="11" t="str">
        <f t="shared" si="0"/>
        <v>昭和39年04月08日</v>
      </c>
      <c r="H24" s="12">
        <f t="shared" ca="1" si="1"/>
        <v>60</v>
      </c>
      <c r="I24" s="8">
        <v>342378</v>
      </c>
      <c r="J24" s="10">
        <v>33389</v>
      </c>
      <c r="K24" s="10">
        <v>33989</v>
      </c>
      <c r="L24" s="39"/>
      <c r="M24" s="8" t="s">
        <v>80</v>
      </c>
      <c r="N24" s="8" t="s">
        <v>81</v>
      </c>
      <c r="O24" s="13" t="s">
        <v>82</v>
      </c>
      <c r="P24" s="8" t="s">
        <v>83</v>
      </c>
      <c r="Q24" s="47" t="s">
        <v>367</v>
      </c>
      <c r="R24" s="8" t="s">
        <v>84</v>
      </c>
      <c r="S24" s="13" t="s">
        <v>85</v>
      </c>
      <c r="T24" s="14" t="s">
        <v>86</v>
      </c>
      <c r="U24" s="8"/>
      <c r="V24" s="48" t="s">
        <v>368</v>
      </c>
      <c r="W24" s="15" t="s">
        <v>435</v>
      </c>
      <c r="X24" s="7">
        <f t="shared" ca="1" si="2"/>
        <v>33</v>
      </c>
      <c r="Y24" s="15" t="s">
        <v>443</v>
      </c>
      <c r="AB24" s="7" t="s">
        <v>577</v>
      </c>
      <c r="AC24" s="7" t="s">
        <v>578</v>
      </c>
    </row>
    <row r="25" spans="1:29">
      <c r="A25" s="3"/>
      <c r="B25" s="4">
        <v>19</v>
      </c>
      <c r="C25" s="8" t="s">
        <v>579</v>
      </c>
      <c r="D25" s="8" t="s">
        <v>87</v>
      </c>
      <c r="E25" s="4" t="s">
        <v>32</v>
      </c>
      <c r="F25" s="10">
        <v>13980</v>
      </c>
      <c r="G25" s="11" t="str">
        <f t="shared" si="0"/>
        <v>昭和13年04月10日</v>
      </c>
      <c r="H25" s="12">
        <f t="shared" ca="1" si="1"/>
        <v>86</v>
      </c>
      <c r="I25" s="8">
        <v>187745</v>
      </c>
      <c r="J25" s="8"/>
      <c r="K25" s="8"/>
      <c r="L25" s="39"/>
      <c r="M25" s="22"/>
      <c r="N25" s="23"/>
      <c r="O25" s="24"/>
      <c r="P25" s="23"/>
      <c r="Q25" s="23"/>
      <c r="R25" s="8" t="s">
        <v>580</v>
      </c>
      <c r="S25" s="13" t="s">
        <v>581</v>
      </c>
      <c r="T25" s="14" t="s">
        <v>88</v>
      </c>
      <c r="U25" s="8"/>
      <c r="V25" s="15"/>
      <c r="W25" s="15"/>
      <c r="X25" s="7">
        <f t="shared" ca="1" si="2"/>
        <v>124</v>
      </c>
      <c r="Y25" s="15" t="s">
        <v>469</v>
      </c>
      <c r="AB25" s="7" t="s">
        <v>582</v>
      </c>
      <c r="AC25" s="7">
        <v>44214421</v>
      </c>
    </row>
    <row r="26" spans="1:29" ht="36">
      <c r="A26" s="3"/>
      <c r="B26" s="4">
        <v>20</v>
      </c>
      <c r="C26" s="8" t="s">
        <v>583</v>
      </c>
      <c r="D26" s="8" t="s">
        <v>89</v>
      </c>
      <c r="E26" s="4" t="s">
        <v>32</v>
      </c>
      <c r="F26" s="10">
        <v>25067</v>
      </c>
      <c r="G26" s="11" t="str">
        <f t="shared" si="0"/>
        <v>昭和43年08月17日</v>
      </c>
      <c r="H26" s="12">
        <f t="shared" ca="1" si="1"/>
        <v>56</v>
      </c>
      <c r="I26" s="8">
        <v>370333</v>
      </c>
      <c r="J26" s="10">
        <v>34817</v>
      </c>
      <c r="K26" s="10">
        <v>36314</v>
      </c>
      <c r="L26" s="39"/>
      <c r="M26" s="8" t="s">
        <v>28</v>
      </c>
      <c r="N26" s="8" t="s">
        <v>29</v>
      </c>
      <c r="O26" s="13" t="s">
        <v>456</v>
      </c>
      <c r="P26" s="8" t="s">
        <v>30</v>
      </c>
      <c r="Q26" s="8"/>
      <c r="R26" s="8" t="s">
        <v>90</v>
      </c>
      <c r="S26" s="13" t="s">
        <v>91</v>
      </c>
      <c r="T26" s="14" t="s">
        <v>92</v>
      </c>
      <c r="U26" s="8"/>
      <c r="V26" s="15"/>
      <c r="W26" s="15"/>
      <c r="X26" s="7">
        <f t="shared" ca="1" si="2"/>
        <v>29</v>
      </c>
      <c r="Y26" s="15" t="s">
        <v>443</v>
      </c>
      <c r="AB26" s="7" t="s">
        <v>584</v>
      </c>
      <c r="AC26" s="7" t="s">
        <v>585</v>
      </c>
    </row>
    <row r="27" spans="1:29" ht="36">
      <c r="A27" s="3"/>
      <c r="B27" s="4">
        <v>21</v>
      </c>
      <c r="C27" s="8" t="s">
        <v>586</v>
      </c>
      <c r="D27" s="8" t="s">
        <v>93</v>
      </c>
      <c r="E27" s="9" t="s">
        <v>18</v>
      </c>
      <c r="F27" s="10">
        <v>10798</v>
      </c>
      <c r="G27" s="11" t="str">
        <f t="shared" si="0"/>
        <v>昭和04年07月24日</v>
      </c>
      <c r="H27" s="12">
        <f t="shared" ca="1" si="1"/>
        <v>95</v>
      </c>
      <c r="I27" s="8">
        <v>145859</v>
      </c>
      <c r="J27" s="8"/>
      <c r="K27" s="8"/>
      <c r="L27" s="39"/>
      <c r="M27" s="8"/>
      <c r="N27" s="8"/>
      <c r="O27" s="13"/>
      <c r="P27" s="8"/>
      <c r="Q27" s="8"/>
      <c r="R27" s="8" t="s">
        <v>587</v>
      </c>
      <c r="S27" s="13" t="s">
        <v>588</v>
      </c>
      <c r="T27" s="14" t="s">
        <v>95</v>
      </c>
      <c r="U27" s="8"/>
      <c r="V27" s="15"/>
      <c r="W27" s="15"/>
      <c r="X27" s="7">
        <f t="shared" ca="1" si="2"/>
        <v>124</v>
      </c>
      <c r="Y27" s="15" t="s">
        <v>469</v>
      </c>
      <c r="AB27" s="7" t="s">
        <v>589</v>
      </c>
      <c r="AC27" s="7" t="s">
        <v>393</v>
      </c>
    </row>
    <row r="28" spans="1:29" ht="36">
      <c r="A28" s="3"/>
      <c r="B28" s="4">
        <v>22</v>
      </c>
      <c r="C28" s="8" t="s">
        <v>590</v>
      </c>
      <c r="D28" s="8" t="s">
        <v>96</v>
      </c>
      <c r="E28" s="16" t="s">
        <v>439</v>
      </c>
      <c r="F28" s="10">
        <v>29015</v>
      </c>
      <c r="G28" s="11" t="str">
        <f t="shared" si="0"/>
        <v>昭和54年06月09日</v>
      </c>
      <c r="H28" s="12">
        <f t="shared" ca="1" si="1"/>
        <v>45</v>
      </c>
      <c r="I28" s="8">
        <v>440137</v>
      </c>
      <c r="J28" s="10">
        <v>38107</v>
      </c>
      <c r="K28" s="10">
        <v>38834</v>
      </c>
      <c r="L28" s="39"/>
      <c r="M28" s="8" t="s">
        <v>97</v>
      </c>
      <c r="N28" s="8" t="s">
        <v>71</v>
      </c>
      <c r="O28" s="13" t="s">
        <v>98</v>
      </c>
      <c r="P28" s="8" t="s">
        <v>99</v>
      </c>
      <c r="Q28" s="8"/>
      <c r="R28" s="8" t="s">
        <v>100</v>
      </c>
      <c r="S28" s="13" t="s">
        <v>591</v>
      </c>
      <c r="T28" s="14" t="s">
        <v>101</v>
      </c>
      <c r="U28" s="8"/>
      <c r="V28" s="17"/>
      <c r="W28" s="17"/>
      <c r="X28" s="7">
        <f t="shared" ca="1" si="2"/>
        <v>20</v>
      </c>
      <c r="Y28" s="17" t="s">
        <v>436</v>
      </c>
      <c r="AB28" s="7" t="s">
        <v>592</v>
      </c>
      <c r="AC28" s="7">
        <v>19790609</v>
      </c>
    </row>
    <row r="29" spans="1:29" ht="36">
      <c r="A29" s="3"/>
      <c r="B29" s="4">
        <v>23</v>
      </c>
      <c r="C29" s="8" t="s">
        <v>593</v>
      </c>
      <c r="D29" s="8" t="s">
        <v>102</v>
      </c>
      <c r="E29" s="4" t="s">
        <v>32</v>
      </c>
      <c r="F29" s="10">
        <v>22669</v>
      </c>
      <c r="G29" s="11" t="str">
        <f t="shared" si="0"/>
        <v>昭和37年01月23日</v>
      </c>
      <c r="H29" s="12">
        <f t="shared" ca="1" si="1"/>
        <v>62</v>
      </c>
      <c r="I29" s="8">
        <v>302135</v>
      </c>
      <c r="J29" s="10">
        <v>31572</v>
      </c>
      <c r="K29" s="10">
        <v>32185</v>
      </c>
      <c r="L29" s="39"/>
      <c r="M29" s="8" t="s">
        <v>594</v>
      </c>
      <c r="N29" s="8" t="s">
        <v>595</v>
      </c>
      <c r="O29" s="13" t="s">
        <v>596</v>
      </c>
      <c r="P29" s="8" t="s">
        <v>103</v>
      </c>
      <c r="Q29" s="8"/>
      <c r="R29" s="8" t="s">
        <v>597</v>
      </c>
      <c r="S29" s="13" t="s">
        <v>598</v>
      </c>
      <c r="T29" s="14"/>
      <c r="U29" s="8"/>
      <c r="V29" s="17"/>
      <c r="W29" s="17"/>
      <c r="X29" s="7">
        <f t="shared" ca="1" si="2"/>
        <v>38</v>
      </c>
      <c r="Y29" s="17" t="s">
        <v>436</v>
      </c>
      <c r="AB29" s="7" t="s">
        <v>599</v>
      </c>
      <c r="AC29" s="7">
        <v>19620123</v>
      </c>
    </row>
    <row r="30" spans="1:29">
      <c r="A30" s="3"/>
      <c r="B30" s="4">
        <v>24</v>
      </c>
      <c r="C30" s="8" t="s">
        <v>600</v>
      </c>
      <c r="D30" s="8" t="s">
        <v>104</v>
      </c>
      <c r="E30" s="9" t="s">
        <v>18</v>
      </c>
      <c r="F30" s="10">
        <v>22111</v>
      </c>
      <c r="G30" s="11" t="str">
        <f t="shared" si="0"/>
        <v>昭和35年07月14日</v>
      </c>
      <c r="H30" s="12">
        <f t="shared" ca="1" si="1"/>
        <v>64</v>
      </c>
      <c r="I30" s="8">
        <v>302134</v>
      </c>
      <c r="J30" s="10">
        <v>31572</v>
      </c>
      <c r="K30" s="10">
        <v>32185</v>
      </c>
      <c r="L30" s="39"/>
      <c r="M30" s="8" t="s">
        <v>105</v>
      </c>
      <c r="N30" s="8" t="s">
        <v>106</v>
      </c>
      <c r="O30" s="13" t="s">
        <v>107</v>
      </c>
      <c r="P30" s="8" t="s">
        <v>108</v>
      </c>
      <c r="Q30" s="8"/>
      <c r="R30" s="8" t="s">
        <v>109</v>
      </c>
      <c r="S30" s="13" t="s">
        <v>110</v>
      </c>
      <c r="T30" s="14" t="s">
        <v>601</v>
      </c>
      <c r="U30" s="8"/>
      <c r="V30" s="17"/>
      <c r="W30" s="17"/>
      <c r="X30" s="7">
        <f t="shared" ca="1" si="2"/>
        <v>38</v>
      </c>
      <c r="Y30" s="17" t="s">
        <v>436</v>
      </c>
      <c r="AB30" s="7" t="s">
        <v>602</v>
      </c>
      <c r="AC30" s="7">
        <v>19600714</v>
      </c>
    </row>
    <row r="31" spans="1:29">
      <c r="A31" s="3"/>
      <c r="B31" s="4">
        <v>25</v>
      </c>
      <c r="C31" s="8" t="s">
        <v>603</v>
      </c>
      <c r="D31" s="8" t="s">
        <v>111</v>
      </c>
      <c r="E31" s="16" t="s">
        <v>18</v>
      </c>
      <c r="F31" s="10">
        <v>29488</v>
      </c>
      <c r="G31" s="11" t="str">
        <f t="shared" si="0"/>
        <v>昭和55年09月24日</v>
      </c>
      <c r="H31" s="12">
        <f t="shared" ca="1" si="1"/>
        <v>43</v>
      </c>
      <c r="I31" s="8">
        <v>445694</v>
      </c>
      <c r="J31" s="10">
        <v>38441</v>
      </c>
      <c r="K31" s="10">
        <v>39188</v>
      </c>
      <c r="L31" s="39"/>
      <c r="M31" s="8" t="s">
        <v>604</v>
      </c>
      <c r="N31" s="8" t="s">
        <v>508</v>
      </c>
      <c r="O31" s="13" t="s">
        <v>605</v>
      </c>
      <c r="P31" s="8" t="s">
        <v>112</v>
      </c>
      <c r="Q31" s="8"/>
      <c r="R31" s="8" t="s">
        <v>113</v>
      </c>
      <c r="S31" s="13" t="s">
        <v>114</v>
      </c>
      <c r="T31" s="14" t="s">
        <v>115</v>
      </c>
      <c r="U31" s="8"/>
      <c r="V31" s="17"/>
      <c r="W31" s="17"/>
      <c r="X31" s="7">
        <f t="shared" ca="1" si="2"/>
        <v>19</v>
      </c>
      <c r="Y31" s="43" t="s">
        <v>511</v>
      </c>
      <c r="AB31" s="7" t="s">
        <v>606</v>
      </c>
      <c r="AC31" s="7" t="s">
        <v>607</v>
      </c>
    </row>
    <row r="32" spans="1:29" ht="36">
      <c r="A32" s="3"/>
      <c r="B32" s="4">
        <v>26</v>
      </c>
      <c r="C32" s="8" t="s">
        <v>608</v>
      </c>
      <c r="D32" s="8" t="s">
        <v>609</v>
      </c>
      <c r="E32" s="16" t="s">
        <v>18</v>
      </c>
      <c r="F32" s="10">
        <v>29102</v>
      </c>
      <c r="G32" s="11" t="str">
        <f t="shared" si="0"/>
        <v>昭和54年09月04日</v>
      </c>
      <c r="H32" s="12">
        <f t="shared" ca="1" si="1"/>
        <v>44</v>
      </c>
      <c r="I32" s="8"/>
      <c r="J32" s="10"/>
      <c r="K32" s="10"/>
      <c r="L32" s="39"/>
      <c r="M32" s="8" t="s">
        <v>610</v>
      </c>
      <c r="N32" s="8" t="s">
        <v>611</v>
      </c>
      <c r="O32" s="13" t="s">
        <v>612</v>
      </c>
      <c r="P32" s="8" t="s">
        <v>116</v>
      </c>
      <c r="Q32" s="8"/>
      <c r="R32" s="8" t="s">
        <v>117</v>
      </c>
      <c r="S32" s="13" t="s">
        <v>118</v>
      </c>
      <c r="T32" s="14" t="s">
        <v>119</v>
      </c>
      <c r="U32" s="8"/>
      <c r="V32" s="17"/>
      <c r="W32" s="17"/>
      <c r="X32" s="7">
        <f t="shared" ca="1" si="2"/>
        <v>124</v>
      </c>
      <c r="Y32" s="17" t="s">
        <v>436</v>
      </c>
      <c r="AB32" s="7" t="s">
        <v>613</v>
      </c>
      <c r="AC32" s="7">
        <v>19790904</v>
      </c>
    </row>
    <row r="33" spans="1:29" ht="36">
      <c r="A33" s="3"/>
      <c r="B33" s="4">
        <v>27</v>
      </c>
      <c r="C33" s="8" t="s">
        <v>614</v>
      </c>
      <c r="D33" s="8" t="s">
        <v>120</v>
      </c>
      <c r="E33" s="4" t="s">
        <v>32</v>
      </c>
      <c r="F33" s="10">
        <v>28926</v>
      </c>
      <c r="G33" s="11" t="str">
        <f t="shared" si="0"/>
        <v>昭和54年03月12日</v>
      </c>
      <c r="H33" s="12">
        <f t="shared" ca="1" si="1"/>
        <v>45</v>
      </c>
      <c r="I33" s="8">
        <v>447105</v>
      </c>
      <c r="J33" s="10">
        <v>38448</v>
      </c>
      <c r="K33" s="10">
        <v>39188</v>
      </c>
      <c r="L33" s="39"/>
      <c r="M33" s="8" t="s">
        <v>615</v>
      </c>
      <c r="N33" s="8" t="s">
        <v>616</v>
      </c>
      <c r="O33" s="13" t="s">
        <v>617</v>
      </c>
      <c r="P33" s="8" t="s">
        <v>618</v>
      </c>
      <c r="Q33" s="8"/>
      <c r="R33" s="8" t="s">
        <v>619</v>
      </c>
      <c r="S33" s="13" t="s">
        <v>620</v>
      </c>
      <c r="T33" s="14" t="s">
        <v>122</v>
      </c>
      <c r="U33" s="8"/>
      <c r="V33" s="49" t="s">
        <v>621</v>
      </c>
      <c r="W33" s="15"/>
      <c r="X33" s="7">
        <f t="shared" ca="1" si="2"/>
        <v>19</v>
      </c>
      <c r="Y33" s="15" t="s">
        <v>436</v>
      </c>
      <c r="Z33" s="7" t="s">
        <v>622</v>
      </c>
      <c r="AB33" s="7" t="s">
        <v>623</v>
      </c>
      <c r="AC33" s="7" t="s">
        <v>624</v>
      </c>
    </row>
    <row r="34" spans="1:29">
      <c r="A34" s="3"/>
      <c r="B34" s="4">
        <v>28</v>
      </c>
      <c r="C34" s="8" t="s">
        <v>625</v>
      </c>
      <c r="D34" s="8" t="s">
        <v>123</v>
      </c>
      <c r="E34" s="4" t="s">
        <v>32</v>
      </c>
      <c r="F34" s="10">
        <v>11713</v>
      </c>
      <c r="G34" s="11" t="str">
        <f t="shared" si="0"/>
        <v>昭和07年01月25日</v>
      </c>
      <c r="H34" s="12">
        <f t="shared" ca="1" si="1"/>
        <v>92</v>
      </c>
      <c r="I34" s="8">
        <v>164103</v>
      </c>
      <c r="J34" s="10"/>
      <c r="K34" s="10"/>
      <c r="L34" s="39"/>
      <c r="M34" s="8"/>
      <c r="N34" s="8"/>
      <c r="O34" s="13"/>
      <c r="P34" s="8"/>
      <c r="Q34" s="8"/>
      <c r="R34" s="8" t="s">
        <v>124</v>
      </c>
      <c r="S34" s="13" t="s">
        <v>125</v>
      </c>
      <c r="T34" s="14" t="s">
        <v>126</v>
      </c>
      <c r="U34" s="8"/>
      <c r="V34" s="15"/>
      <c r="W34" s="15"/>
      <c r="X34" s="7">
        <f t="shared" ca="1" si="2"/>
        <v>124</v>
      </c>
      <c r="Y34" s="15" t="s">
        <v>469</v>
      </c>
      <c r="AB34" s="7" t="s">
        <v>626</v>
      </c>
      <c r="AC34" s="7" t="s">
        <v>627</v>
      </c>
    </row>
    <row r="35" spans="1:29">
      <c r="A35" s="3"/>
      <c r="B35" s="4">
        <v>29</v>
      </c>
      <c r="C35" s="8" t="s">
        <v>628</v>
      </c>
      <c r="D35" s="8" t="s">
        <v>127</v>
      </c>
      <c r="E35" s="4" t="s">
        <v>32</v>
      </c>
      <c r="F35" s="10">
        <v>22757</v>
      </c>
      <c r="G35" s="11" t="str">
        <f t="shared" si="0"/>
        <v>昭和37年04月21日</v>
      </c>
      <c r="H35" s="12">
        <f t="shared" ca="1" si="1"/>
        <v>62</v>
      </c>
      <c r="I35" s="8">
        <v>323430</v>
      </c>
      <c r="J35" s="10">
        <v>33025</v>
      </c>
      <c r="K35" s="10">
        <v>33036</v>
      </c>
      <c r="L35" s="39"/>
      <c r="M35" s="8" t="s">
        <v>128</v>
      </c>
      <c r="N35" s="8" t="s">
        <v>129</v>
      </c>
      <c r="O35" s="13" t="s">
        <v>130</v>
      </c>
      <c r="P35" s="8" t="s">
        <v>131</v>
      </c>
      <c r="Q35" s="8"/>
      <c r="R35" s="8" t="s">
        <v>129</v>
      </c>
      <c r="S35" s="13" t="s">
        <v>130</v>
      </c>
      <c r="T35" s="14" t="s">
        <v>131</v>
      </c>
      <c r="U35" s="8"/>
      <c r="V35" s="15"/>
      <c r="W35" s="15"/>
      <c r="X35" s="7">
        <f t="shared" ca="1" si="2"/>
        <v>34</v>
      </c>
      <c r="Y35" s="15" t="s">
        <v>443</v>
      </c>
      <c r="AB35" s="7" t="s">
        <v>629</v>
      </c>
      <c r="AC35" s="7" t="s">
        <v>630</v>
      </c>
    </row>
    <row r="36" spans="1:29" ht="36">
      <c r="A36" s="3"/>
      <c r="B36" s="4">
        <v>30</v>
      </c>
      <c r="C36" s="8" t="s">
        <v>631</v>
      </c>
      <c r="D36" s="8" t="s">
        <v>132</v>
      </c>
      <c r="E36" s="4" t="s">
        <v>32</v>
      </c>
      <c r="F36" s="10">
        <v>18864</v>
      </c>
      <c r="G36" s="11" t="str">
        <f t="shared" si="0"/>
        <v>昭和26年08月24日</v>
      </c>
      <c r="H36" s="12">
        <f t="shared" ca="1" si="1"/>
        <v>73</v>
      </c>
      <c r="I36" s="8">
        <v>233498</v>
      </c>
      <c r="J36" s="8"/>
      <c r="K36" s="10">
        <v>30529</v>
      </c>
      <c r="L36" s="39"/>
      <c r="M36" s="8" t="s">
        <v>133</v>
      </c>
      <c r="N36" s="8" t="s">
        <v>134</v>
      </c>
      <c r="O36" s="13" t="s">
        <v>632</v>
      </c>
      <c r="P36" s="8" t="s">
        <v>136</v>
      </c>
      <c r="Q36" s="8"/>
      <c r="R36" s="8" t="s">
        <v>137</v>
      </c>
      <c r="S36" s="13" t="s">
        <v>138</v>
      </c>
      <c r="T36" s="14" t="s">
        <v>139</v>
      </c>
      <c r="U36" s="8"/>
      <c r="V36" s="15"/>
      <c r="W36" s="15"/>
      <c r="X36" s="7">
        <f t="shared" ca="1" si="2"/>
        <v>124</v>
      </c>
      <c r="Y36" s="15" t="s">
        <v>443</v>
      </c>
      <c r="AB36" s="7" t="s">
        <v>633</v>
      </c>
      <c r="AC36" s="7">
        <v>19881101</v>
      </c>
    </row>
    <row r="37" spans="1:29" ht="36">
      <c r="A37" s="3"/>
      <c r="B37" s="4">
        <v>31</v>
      </c>
      <c r="C37" s="8" t="s">
        <v>634</v>
      </c>
      <c r="D37" s="8" t="s">
        <v>635</v>
      </c>
      <c r="E37" s="4" t="s">
        <v>32</v>
      </c>
      <c r="F37" s="10">
        <v>32633</v>
      </c>
      <c r="G37" s="11"/>
      <c r="H37" s="12">
        <f t="shared" ca="1" si="1"/>
        <v>35</v>
      </c>
      <c r="I37" s="8">
        <v>518723</v>
      </c>
      <c r="J37" s="10">
        <v>41726</v>
      </c>
      <c r="K37" s="10"/>
      <c r="L37" s="39"/>
      <c r="M37" s="8" t="s">
        <v>133</v>
      </c>
      <c r="N37" s="8" t="s">
        <v>134</v>
      </c>
      <c r="O37" s="13" t="s">
        <v>632</v>
      </c>
      <c r="P37" s="8" t="s">
        <v>136</v>
      </c>
      <c r="Q37" s="8"/>
      <c r="R37" s="8"/>
      <c r="S37" s="13"/>
      <c r="T37" s="14"/>
      <c r="U37" s="8"/>
      <c r="V37" s="17"/>
      <c r="W37" s="17"/>
      <c r="X37" s="7">
        <f t="shared" ca="1" si="2"/>
        <v>10</v>
      </c>
      <c r="Y37" s="17" t="s">
        <v>436</v>
      </c>
      <c r="AB37" s="7" t="s">
        <v>636</v>
      </c>
      <c r="AC37" s="7" t="s">
        <v>394</v>
      </c>
    </row>
    <row r="38" spans="1:29">
      <c r="A38" s="3"/>
      <c r="B38" s="4">
        <v>32</v>
      </c>
      <c r="C38" s="8" t="s">
        <v>637</v>
      </c>
      <c r="D38" s="8" t="s">
        <v>140</v>
      </c>
      <c r="E38" s="9" t="s">
        <v>439</v>
      </c>
      <c r="F38" s="10">
        <v>23477</v>
      </c>
      <c r="G38" s="11" t="str">
        <f t="shared" ref="G38:G101" si="3">DATESTRING(F38)</f>
        <v>昭和39年04月10日</v>
      </c>
      <c r="H38" s="12">
        <f t="shared" ca="1" si="1"/>
        <v>60</v>
      </c>
      <c r="I38" s="8">
        <v>332533</v>
      </c>
      <c r="J38" s="10">
        <v>33021</v>
      </c>
      <c r="K38" s="10">
        <v>39605</v>
      </c>
      <c r="L38" s="39"/>
      <c r="M38" s="8" t="s">
        <v>638</v>
      </c>
      <c r="N38" s="8" t="s">
        <v>639</v>
      </c>
      <c r="O38" s="13" t="s">
        <v>640</v>
      </c>
      <c r="P38" s="50" t="s">
        <v>641</v>
      </c>
      <c r="Q38" s="50"/>
      <c r="R38" s="8" t="s">
        <v>142</v>
      </c>
      <c r="S38" s="13" t="s">
        <v>143</v>
      </c>
      <c r="T38" s="14" t="s">
        <v>642</v>
      </c>
      <c r="U38" s="8"/>
      <c r="V38" s="17"/>
      <c r="W38" s="17"/>
      <c r="X38" s="7">
        <f t="shared" ca="1" si="2"/>
        <v>34</v>
      </c>
      <c r="Y38" s="17" t="s">
        <v>443</v>
      </c>
      <c r="AB38" s="7" t="s">
        <v>643</v>
      </c>
      <c r="AC38" s="7">
        <v>390410</v>
      </c>
    </row>
    <row r="39" spans="1:29" ht="36">
      <c r="A39" s="3"/>
      <c r="B39" s="4">
        <v>33</v>
      </c>
      <c r="C39" s="8" t="s">
        <v>644</v>
      </c>
      <c r="D39" s="8" t="s">
        <v>645</v>
      </c>
      <c r="E39" s="9" t="s">
        <v>447</v>
      </c>
      <c r="F39" s="10">
        <v>34666</v>
      </c>
      <c r="G39" s="11" t="str">
        <f t="shared" si="3"/>
        <v>平成06年11月28日</v>
      </c>
      <c r="H39" s="12">
        <f t="shared" ca="1" si="1"/>
        <v>29</v>
      </c>
      <c r="I39" s="8">
        <v>573578</v>
      </c>
      <c r="J39" s="10">
        <v>43927</v>
      </c>
      <c r="K39" s="10">
        <v>44681</v>
      </c>
      <c r="L39" s="39"/>
      <c r="M39" s="8" t="s">
        <v>646</v>
      </c>
      <c r="N39" s="8" t="s">
        <v>647</v>
      </c>
      <c r="O39" s="13" t="s">
        <v>648</v>
      </c>
      <c r="P39" s="8" t="s">
        <v>649</v>
      </c>
      <c r="Q39" s="8"/>
      <c r="R39" s="8" t="s">
        <v>650</v>
      </c>
      <c r="S39" s="13" t="s">
        <v>651</v>
      </c>
      <c r="T39" s="14" t="s">
        <v>652</v>
      </c>
      <c r="U39" s="8"/>
      <c r="V39" s="42" t="s">
        <v>653</v>
      </c>
      <c r="W39" s="17"/>
      <c r="X39" s="7">
        <f t="shared" ca="1" si="2"/>
        <v>4</v>
      </c>
      <c r="Y39" s="17" t="s">
        <v>654</v>
      </c>
      <c r="Z39" s="7" t="s">
        <v>655</v>
      </c>
      <c r="AB39" s="7" t="s">
        <v>656</v>
      </c>
      <c r="AC39" s="7">
        <v>941128</v>
      </c>
    </row>
    <row r="40" spans="1:29">
      <c r="A40" s="3"/>
      <c r="B40" s="4">
        <v>34</v>
      </c>
      <c r="C40" s="8" t="s">
        <v>657</v>
      </c>
      <c r="D40" s="8" t="s">
        <v>144</v>
      </c>
      <c r="E40" s="4" t="s">
        <v>447</v>
      </c>
      <c r="F40" s="10">
        <v>19280</v>
      </c>
      <c r="G40" s="11" t="str">
        <f t="shared" si="3"/>
        <v>昭和27年10月13日</v>
      </c>
      <c r="H40" s="12">
        <f t="shared" ca="1" si="1"/>
        <v>71</v>
      </c>
      <c r="I40" s="8">
        <v>243140</v>
      </c>
      <c r="J40" s="10">
        <v>28658</v>
      </c>
      <c r="K40" s="10"/>
      <c r="L40" s="39"/>
      <c r="M40" s="8" t="s">
        <v>658</v>
      </c>
      <c r="N40" s="8" t="s">
        <v>659</v>
      </c>
      <c r="O40" s="13" t="s">
        <v>660</v>
      </c>
      <c r="P40" s="8" t="s">
        <v>661</v>
      </c>
      <c r="Q40" s="8"/>
      <c r="R40" s="8" t="s">
        <v>659</v>
      </c>
      <c r="S40" s="13" t="s">
        <v>145</v>
      </c>
      <c r="T40" s="14" t="s">
        <v>146</v>
      </c>
      <c r="U40" s="8"/>
      <c r="V40" s="15"/>
      <c r="W40" s="15"/>
      <c r="X40" s="7">
        <f t="shared" ca="1" si="2"/>
        <v>46</v>
      </c>
      <c r="Y40" s="15" t="s">
        <v>443</v>
      </c>
      <c r="AB40" s="7" t="s">
        <v>662</v>
      </c>
      <c r="AC40" s="7" t="s">
        <v>663</v>
      </c>
    </row>
    <row r="41" spans="1:29">
      <c r="A41" s="3"/>
      <c r="B41" s="4">
        <v>35</v>
      </c>
      <c r="C41" s="8" t="s">
        <v>664</v>
      </c>
      <c r="D41" s="8" t="s">
        <v>665</v>
      </c>
      <c r="E41" s="16" t="s">
        <v>439</v>
      </c>
      <c r="F41" s="10">
        <v>33401</v>
      </c>
      <c r="G41" s="11" t="str">
        <f t="shared" si="3"/>
        <v>平成03年06月12日</v>
      </c>
      <c r="H41" s="12">
        <f t="shared" ca="1" si="1"/>
        <v>33</v>
      </c>
      <c r="I41" s="8">
        <v>547696</v>
      </c>
      <c r="J41" s="10">
        <v>43181</v>
      </c>
      <c r="K41" s="10">
        <v>44345</v>
      </c>
      <c r="L41" s="39"/>
      <c r="M41" s="8" t="s">
        <v>666</v>
      </c>
      <c r="N41" s="8" t="s">
        <v>508</v>
      </c>
      <c r="O41" s="13" t="s">
        <v>605</v>
      </c>
      <c r="P41" s="8" t="s">
        <v>112</v>
      </c>
      <c r="Q41" s="8"/>
      <c r="R41" s="8" t="s">
        <v>650</v>
      </c>
      <c r="S41" s="13" t="s">
        <v>667</v>
      </c>
      <c r="T41" s="14" t="s">
        <v>668</v>
      </c>
      <c r="U41" s="8"/>
      <c r="V41" s="17"/>
      <c r="W41" s="17"/>
      <c r="X41" s="7">
        <f t="shared" ca="1" si="2"/>
        <v>6</v>
      </c>
      <c r="Y41" s="43" t="s">
        <v>369</v>
      </c>
      <c r="AB41" s="7" t="s">
        <v>669</v>
      </c>
      <c r="AC41" s="51" t="s">
        <v>670</v>
      </c>
    </row>
    <row r="42" spans="1:29" ht="36">
      <c r="A42" s="3"/>
      <c r="B42" s="4">
        <v>36</v>
      </c>
      <c r="C42" s="8" t="s">
        <v>671</v>
      </c>
      <c r="D42" s="8" t="s">
        <v>672</v>
      </c>
      <c r="E42" s="16" t="s">
        <v>447</v>
      </c>
      <c r="F42" s="10">
        <v>33584</v>
      </c>
      <c r="G42" s="11" t="str">
        <f t="shared" si="3"/>
        <v>平成03年12月12日</v>
      </c>
      <c r="H42" s="12">
        <f t="shared" ca="1" si="1"/>
        <v>32</v>
      </c>
      <c r="I42" s="8">
        <v>531792</v>
      </c>
      <c r="J42" s="10">
        <v>42454</v>
      </c>
      <c r="K42" s="10"/>
      <c r="L42" s="39"/>
      <c r="M42" s="8" t="s">
        <v>673</v>
      </c>
      <c r="N42" s="8" t="s">
        <v>674</v>
      </c>
      <c r="O42" s="13" t="s">
        <v>675</v>
      </c>
      <c r="P42" s="8" t="s">
        <v>676</v>
      </c>
      <c r="Q42" s="8"/>
      <c r="R42" s="8" t="s">
        <v>677</v>
      </c>
      <c r="S42" s="13" t="s">
        <v>678</v>
      </c>
      <c r="T42" s="14" t="s">
        <v>679</v>
      </c>
      <c r="U42" s="8"/>
      <c r="V42" s="17"/>
      <c r="W42" s="17"/>
      <c r="X42" s="7">
        <f t="shared" ca="1" si="2"/>
        <v>8</v>
      </c>
      <c r="Y42" s="17" t="s">
        <v>436</v>
      </c>
      <c r="AA42" s="21">
        <v>44774</v>
      </c>
      <c r="AB42" s="7" t="s">
        <v>680</v>
      </c>
      <c r="AC42" s="7">
        <v>531792</v>
      </c>
    </row>
    <row r="43" spans="1:29">
      <c r="A43" s="3"/>
      <c r="B43" s="4">
        <v>37</v>
      </c>
      <c r="C43" s="8" t="s">
        <v>681</v>
      </c>
      <c r="D43" s="8" t="s">
        <v>682</v>
      </c>
      <c r="E43" s="9" t="s">
        <v>18</v>
      </c>
      <c r="F43" s="10">
        <v>22929</v>
      </c>
      <c r="G43" s="11" t="str">
        <f t="shared" si="3"/>
        <v>昭和37年10月10日</v>
      </c>
      <c r="H43" s="12">
        <f t="shared" ca="1" si="1"/>
        <v>61</v>
      </c>
      <c r="I43" s="8">
        <v>305082</v>
      </c>
      <c r="J43" s="10">
        <v>31919</v>
      </c>
      <c r="K43" s="10">
        <v>33612</v>
      </c>
      <c r="L43" s="39"/>
      <c r="M43" s="8" t="s">
        <v>147</v>
      </c>
      <c r="N43" s="8" t="s">
        <v>683</v>
      </c>
      <c r="O43" s="13" t="s">
        <v>148</v>
      </c>
      <c r="P43" s="8" t="s">
        <v>149</v>
      </c>
      <c r="Q43" s="8"/>
      <c r="R43" s="8" t="s">
        <v>150</v>
      </c>
      <c r="S43" s="13" t="s">
        <v>684</v>
      </c>
      <c r="T43" s="14" t="s">
        <v>151</v>
      </c>
      <c r="U43" s="8"/>
      <c r="V43" s="15"/>
      <c r="W43" s="15"/>
      <c r="X43" s="7">
        <f t="shared" ca="1" si="2"/>
        <v>37</v>
      </c>
      <c r="Y43" s="15" t="s">
        <v>443</v>
      </c>
      <c r="AB43" s="7" t="s">
        <v>685</v>
      </c>
      <c r="AC43" s="7">
        <v>483444</v>
      </c>
    </row>
    <row r="44" spans="1:29" ht="36">
      <c r="A44" s="3"/>
      <c r="B44" s="4">
        <v>38</v>
      </c>
      <c r="C44" s="8" t="s">
        <v>686</v>
      </c>
      <c r="D44" s="8" t="s">
        <v>687</v>
      </c>
      <c r="E44" s="25" t="s">
        <v>447</v>
      </c>
      <c r="F44" s="10">
        <v>34650</v>
      </c>
      <c r="G44" s="11" t="str">
        <f t="shared" si="3"/>
        <v>平成06年11月12日</v>
      </c>
      <c r="H44" s="12">
        <f t="shared" ca="1" si="1"/>
        <v>29</v>
      </c>
      <c r="I44" s="8">
        <v>558315</v>
      </c>
      <c r="J44" s="10">
        <v>43550</v>
      </c>
      <c r="K44" s="10">
        <v>44349</v>
      </c>
      <c r="L44" s="39"/>
      <c r="M44" s="8" t="s">
        <v>604</v>
      </c>
      <c r="N44" s="8" t="s">
        <v>152</v>
      </c>
      <c r="O44" s="13" t="s">
        <v>605</v>
      </c>
      <c r="P44" s="8" t="s">
        <v>112</v>
      </c>
      <c r="Q44" s="8"/>
      <c r="R44" s="8" t="s">
        <v>688</v>
      </c>
      <c r="S44" s="13" t="s">
        <v>689</v>
      </c>
      <c r="T44" s="14" t="s">
        <v>690</v>
      </c>
      <c r="U44" s="8"/>
      <c r="V44" s="17"/>
      <c r="W44" s="17"/>
      <c r="X44" s="7">
        <f t="shared" ca="1" si="2"/>
        <v>5</v>
      </c>
      <c r="Y44" s="43" t="s">
        <v>494</v>
      </c>
      <c r="AB44" s="7" t="s">
        <v>691</v>
      </c>
      <c r="AC44" s="51" t="s">
        <v>692</v>
      </c>
    </row>
    <row r="45" spans="1:29">
      <c r="A45" s="3"/>
      <c r="B45" s="4">
        <v>39</v>
      </c>
      <c r="C45" s="8" t="s">
        <v>693</v>
      </c>
      <c r="D45" s="8" t="s">
        <v>153</v>
      </c>
      <c r="E45" s="4" t="s">
        <v>447</v>
      </c>
      <c r="F45" s="10">
        <v>21246</v>
      </c>
      <c r="G45" s="11" t="str">
        <f t="shared" si="3"/>
        <v>昭和33年03月02日</v>
      </c>
      <c r="H45" s="12">
        <f t="shared" ca="1" si="1"/>
        <v>66</v>
      </c>
      <c r="I45" s="8">
        <v>4103</v>
      </c>
      <c r="J45" s="8"/>
      <c r="K45" s="10">
        <v>30922</v>
      </c>
      <c r="L45" s="39"/>
      <c r="M45" s="8" t="s">
        <v>694</v>
      </c>
      <c r="N45" s="8" t="s">
        <v>695</v>
      </c>
      <c r="O45" s="13" t="s">
        <v>154</v>
      </c>
      <c r="P45" s="8" t="s">
        <v>155</v>
      </c>
      <c r="Q45" s="8"/>
      <c r="R45" s="8" t="s">
        <v>695</v>
      </c>
      <c r="S45" s="13" t="s">
        <v>696</v>
      </c>
      <c r="T45" s="14" t="s">
        <v>697</v>
      </c>
      <c r="U45" s="8"/>
      <c r="V45" s="15"/>
      <c r="W45" s="15" t="s">
        <v>435</v>
      </c>
      <c r="X45" s="7">
        <f t="shared" ca="1" si="2"/>
        <v>124</v>
      </c>
      <c r="Y45" s="15" t="s">
        <v>443</v>
      </c>
      <c r="AB45" s="7" t="s">
        <v>698</v>
      </c>
      <c r="AC45" s="7" t="s">
        <v>699</v>
      </c>
    </row>
    <row r="46" spans="1:29">
      <c r="A46" s="3" t="s">
        <v>700</v>
      </c>
      <c r="B46" s="4">
        <v>40</v>
      </c>
      <c r="C46" s="8" t="s">
        <v>701</v>
      </c>
      <c r="D46" s="8" t="s">
        <v>702</v>
      </c>
      <c r="E46" s="9" t="s">
        <v>439</v>
      </c>
      <c r="F46" s="10">
        <v>27590</v>
      </c>
      <c r="G46" s="11" t="str">
        <f t="shared" si="3"/>
        <v>昭和50年07月15日</v>
      </c>
      <c r="H46" s="12">
        <f t="shared" ca="1" si="1"/>
        <v>49</v>
      </c>
      <c r="I46" s="8">
        <v>412111</v>
      </c>
      <c r="J46" s="10">
        <v>36658</v>
      </c>
      <c r="K46" s="10">
        <v>36782</v>
      </c>
      <c r="L46" s="39"/>
      <c r="M46" s="8" t="s">
        <v>703</v>
      </c>
      <c r="N46" s="8" t="s">
        <v>73</v>
      </c>
      <c r="O46" s="13" t="s">
        <v>704</v>
      </c>
      <c r="P46" s="8" t="s">
        <v>705</v>
      </c>
      <c r="Q46" s="8"/>
      <c r="R46" s="8" t="s">
        <v>156</v>
      </c>
      <c r="S46" s="13" t="s">
        <v>706</v>
      </c>
      <c r="T46" s="14" t="s">
        <v>157</v>
      </c>
      <c r="U46" s="8"/>
      <c r="V46" s="17"/>
      <c r="W46" s="17"/>
      <c r="X46" s="7">
        <f t="shared" ca="1" si="2"/>
        <v>24</v>
      </c>
      <c r="Y46" s="17" t="s">
        <v>436</v>
      </c>
      <c r="AB46" s="7" t="s">
        <v>707</v>
      </c>
      <c r="AC46" s="7" t="s">
        <v>708</v>
      </c>
    </row>
    <row r="47" spans="1:29">
      <c r="A47" s="3"/>
      <c r="B47" s="4">
        <v>41</v>
      </c>
      <c r="C47" s="8" t="s">
        <v>709</v>
      </c>
      <c r="D47" s="8" t="s">
        <v>158</v>
      </c>
      <c r="E47" s="16" t="s">
        <v>439</v>
      </c>
      <c r="F47" s="10">
        <v>24679</v>
      </c>
      <c r="G47" s="11" t="str">
        <f t="shared" si="3"/>
        <v>昭和42年07月26日</v>
      </c>
      <c r="H47" s="12">
        <f t="shared" ca="1" si="1"/>
        <v>57</v>
      </c>
      <c r="I47" s="8">
        <v>345851</v>
      </c>
      <c r="J47" s="10">
        <v>33744</v>
      </c>
      <c r="K47" s="10">
        <v>34060</v>
      </c>
      <c r="L47" s="39"/>
      <c r="M47" s="8" t="s">
        <v>159</v>
      </c>
      <c r="N47" s="8" t="s">
        <v>595</v>
      </c>
      <c r="O47" s="13" t="s">
        <v>710</v>
      </c>
      <c r="P47" s="8" t="s">
        <v>103</v>
      </c>
      <c r="Q47" s="8"/>
      <c r="R47" s="8"/>
      <c r="S47" s="13"/>
      <c r="T47" s="14"/>
      <c r="U47" s="8"/>
      <c r="V47" s="17"/>
      <c r="W47" s="17"/>
      <c r="X47" s="7">
        <f t="shared" ca="1" si="2"/>
        <v>32</v>
      </c>
      <c r="Y47" s="17" t="s">
        <v>436</v>
      </c>
      <c r="AB47" s="7" t="s">
        <v>711</v>
      </c>
      <c r="AC47" s="7" t="s">
        <v>712</v>
      </c>
    </row>
    <row r="48" spans="1:29">
      <c r="A48" s="3"/>
      <c r="B48" s="4">
        <v>42</v>
      </c>
      <c r="C48" s="8" t="s">
        <v>713</v>
      </c>
      <c r="D48" s="8" t="s">
        <v>160</v>
      </c>
      <c r="E48" s="4" t="s">
        <v>447</v>
      </c>
      <c r="F48" s="10">
        <v>14701</v>
      </c>
      <c r="G48" s="11" t="str">
        <f t="shared" si="3"/>
        <v>昭和15年03月31日</v>
      </c>
      <c r="H48" s="12">
        <f t="shared" ca="1" si="1"/>
        <v>84</v>
      </c>
      <c r="I48" s="8">
        <v>187134</v>
      </c>
      <c r="J48" s="8"/>
      <c r="K48" s="8"/>
      <c r="L48" s="39"/>
      <c r="M48" s="23"/>
      <c r="N48" s="22"/>
      <c r="O48" s="24"/>
      <c r="P48" s="23"/>
      <c r="Q48" s="23"/>
      <c r="R48" s="8" t="s">
        <v>161</v>
      </c>
      <c r="S48" s="13" t="s">
        <v>162</v>
      </c>
      <c r="T48" s="14" t="s">
        <v>163</v>
      </c>
      <c r="U48" s="8"/>
      <c r="V48" s="15"/>
      <c r="W48" s="15"/>
      <c r="X48" s="7">
        <f t="shared" ca="1" si="2"/>
        <v>124</v>
      </c>
      <c r="Y48" s="15" t="s">
        <v>469</v>
      </c>
      <c r="AB48" s="7" t="s">
        <v>714</v>
      </c>
      <c r="AC48" s="7" t="s">
        <v>715</v>
      </c>
    </row>
    <row r="49" spans="1:29">
      <c r="A49" s="3"/>
      <c r="B49" s="4">
        <v>43</v>
      </c>
      <c r="C49" s="8" t="s">
        <v>716</v>
      </c>
      <c r="D49" s="8" t="s">
        <v>717</v>
      </c>
      <c r="E49" s="4" t="s">
        <v>32</v>
      </c>
      <c r="F49" s="10">
        <v>21878</v>
      </c>
      <c r="G49" s="11" t="str">
        <f t="shared" si="3"/>
        <v>昭和34年11月24日</v>
      </c>
      <c r="H49" s="12">
        <f t="shared" ca="1" si="1"/>
        <v>64</v>
      </c>
      <c r="I49" s="8">
        <v>289633</v>
      </c>
      <c r="J49" s="10">
        <v>31190</v>
      </c>
      <c r="K49" s="10">
        <v>31741</v>
      </c>
      <c r="L49" s="39"/>
      <c r="M49" s="8" t="s">
        <v>557</v>
      </c>
      <c r="N49" s="8" t="s">
        <v>71</v>
      </c>
      <c r="O49" s="13" t="s">
        <v>98</v>
      </c>
      <c r="P49" s="8" t="s">
        <v>99</v>
      </c>
      <c r="Q49" s="8"/>
      <c r="R49" s="8" t="s">
        <v>164</v>
      </c>
      <c r="S49" s="13" t="s">
        <v>165</v>
      </c>
      <c r="T49" s="14" t="s">
        <v>166</v>
      </c>
      <c r="U49" s="8"/>
      <c r="V49" s="17"/>
      <c r="W49" s="17"/>
      <c r="X49" s="7">
        <f t="shared" ca="1" si="2"/>
        <v>39</v>
      </c>
      <c r="Y49" s="17" t="s">
        <v>436</v>
      </c>
      <c r="AB49" s="7" t="s">
        <v>718</v>
      </c>
      <c r="AC49" s="7" t="s">
        <v>719</v>
      </c>
    </row>
    <row r="50" spans="1:29">
      <c r="A50" s="3"/>
      <c r="B50" s="4">
        <v>44</v>
      </c>
      <c r="C50" s="8" t="s">
        <v>720</v>
      </c>
      <c r="D50" s="8" t="s">
        <v>167</v>
      </c>
      <c r="E50" s="4" t="s">
        <v>32</v>
      </c>
      <c r="F50" s="10">
        <v>25662</v>
      </c>
      <c r="G50" s="11" t="str">
        <f t="shared" si="3"/>
        <v>昭和45年04月04日</v>
      </c>
      <c r="H50" s="12">
        <f t="shared" ca="1" si="1"/>
        <v>54</v>
      </c>
      <c r="I50" s="8">
        <v>390237</v>
      </c>
      <c r="J50" s="10">
        <v>35558</v>
      </c>
      <c r="K50" s="10">
        <v>35642</v>
      </c>
      <c r="L50" s="39"/>
      <c r="M50" s="8" t="s">
        <v>168</v>
      </c>
      <c r="N50" s="8" t="s">
        <v>169</v>
      </c>
      <c r="O50" s="13" t="s">
        <v>170</v>
      </c>
      <c r="P50" s="8" t="s">
        <v>171</v>
      </c>
      <c r="Q50" s="8"/>
      <c r="R50" s="8" t="s">
        <v>172</v>
      </c>
      <c r="S50" s="13" t="s">
        <v>173</v>
      </c>
      <c r="T50" s="14" t="s">
        <v>174</v>
      </c>
      <c r="U50" s="8"/>
      <c r="V50" s="15"/>
      <c r="W50" s="15"/>
      <c r="X50" s="7">
        <f t="shared" ca="1" si="2"/>
        <v>27</v>
      </c>
      <c r="Y50" s="15" t="s">
        <v>443</v>
      </c>
      <c r="AB50" s="7" t="s">
        <v>721</v>
      </c>
      <c r="AC50" s="51" t="s">
        <v>722</v>
      </c>
    </row>
    <row r="51" spans="1:29">
      <c r="A51" s="3"/>
      <c r="B51" s="4">
        <v>45</v>
      </c>
      <c r="C51" s="8" t="s">
        <v>723</v>
      </c>
      <c r="D51" s="8" t="s">
        <v>175</v>
      </c>
      <c r="E51" s="9" t="s">
        <v>18</v>
      </c>
      <c r="F51" s="10">
        <v>24276</v>
      </c>
      <c r="G51" s="11" t="str">
        <f t="shared" si="3"/>
        <v>昭和41年06月18日</v>
      </c>
      <c r="H51" s="12">
        <f t="shared" ca="1" si="1"/>
        <v>58</v>
      </c>
      <c r="I51" s="8">
        <v>347119</v>
      </c>
      <c r="J51" s="10">
        <v>33746</v>
      </c>
      <c r="K51" s="10">
        <v>34137</v>
      </c>
      <c r="L51" s="39"/>
      <c r="M51" s="8" t="s">
        <v>176</v>
      </c>
      <c r="N51" s="8" t="s">
        <v>177</v>
      </c>
      <c r="O51" s="13" t="s">
        <v>724</v>
      </c>
      <c r="P51" s="8" t="s">
        <v>179</v>
      </c>
      <c r="Q51" s="8"/>
      <c r="R51" s="8" t="s">
        <v>177</v>
      </c>
      <c r="S51" s="13" t="s">
        <v>178</v>
      </c>
      <c r="T51" s="14" t="s">
        <v>180</v>
      </c>
      <c r="U51" s="8"/>
      <c r="V51" s="15"/>
      <c r="W51" s="15" t="s">
        <v>725</v>
      </c>
      <c r="X51" s="7">
        <f t="shared" ca="1" si="2"/>
        <v>32</v>
      </c>
      <c r="Y51" s="15" t="s">
        <v>443</v>
      </c>
      <c r="AB51" s="7" t="s">
        <v>726</v>
      </c>
      <c r="AC51" s="7" t="s">
        <v>727</v>
      </c>
    </row>
    <row r="52" spans="1:29">
      <c r="A52" s="3"/>
      <c r="B52" s="4">
        <v>46</v>
      </c>
      <c r="C52" s="8" t="s">
        <v>728</v>
      </c>
      <c r="D52" s="8" t="s">
        <v>729</v>
      </c>
      <c r="E52" s="26" t="s">
        <v>447</v>
      </c>
      <c r="F52" s="10">
        <v>26416</v>
      </c>
      <c r="G52" s="11" t="str">
        <f t="shared" si="3"/>
        <v>昭和47年04月27日</v>
      </c>
      <c r="H52" s="12">
        <f t="shared" ca="1" si="1"/>
        <v>52</v>
      </c>
      <c r="I52" s="8">
        <v>428725</v>
      </c>
      <c r="J52" s="10">
        <v>37391</v>
      </c>
      <c r="K52" s="10"/>
      <c r="L52" s="39"/>
      <c r="M52" s="8" t="s">
        <v>730</v>
      </c>
      <c r="N52" s="8" t="s">
        <v>731</v>
      </c>
      <c r="O52" s="13" t="s">
        <v>732</v>
      </c>
      <c r="P52" s="8" t="s">
        <v>733</v>
      </c>
      <c r="Q52" s="8"/>
      <c r="R52" s="8" t="s">
        <v>731</v>
      </c>
      <c r="S52" s="13" t="s">
        <v>732</v>
      </c>
      <c r="T52" s="14" t="s">
        <v>734</v>
      </c>
      <c r="U52" s="8"/>
      <c r="V52" s="17"/>
      <c r="W52" s="17"/>
      <c r="X52" s="7">
        <f t="shared" ca="1" si="2"/>
        <v>22</v>
      </c>
      <c r="Y52" s="17" t="s">
        <v>443</v>
      </c>
      <c r="Z52" s="7" t="s">
        <v>735</v>
      </c>
      <c r="AB52" s="7" t="s">
        <v>736</v>
      </c>
      <c r="AC52" s="7" t="s">
        <v>395</v>
      </c>
    </row>
    <row r="53" spans="1:29" ht="36">
      <c r="A53" s="3"/>
      <c r="B53" s="4">
        <v>47</v>
      </c>
      <c r="C53" s="8" t="s">
        <v>737</v>
      </c>
      <c r="D53" s="8" t="s">
        <v>738</v>
      </c>
      <c r="E53" s="26" t="s">
        <v>447</v>
      </c>
      <c r="F53" s="10">
        <v>27029</v>
      </c>
      <c r="G53" s="11" t="str">
        <f t="shared" si="3"/>
        <v>昭和48年12月31日</v>
      </c>
      <c r="H53" s="12">
        <f t="shared" ca="1" si="1"/>
        <v>50</v>
      </c>
      <c r="I53" s="8">
        <v>398000</v>
      </c>
      <c r="J53" s="10">
        <v>35928</v>
      </c>
      <c r="K53" s="10"/>
      <c r="L53" s="39"/>
      <c r="M53" s="8" t="s">
        <v>739</v>
      </c>
      <c r="N53" s="8" t="s">
        <v>740</v>
      </c>
      <c r="O53" s="13" t="s">
        <v>741</v>
      </c>
      <c r="P53" s="8" t="s">
        <v>742</v>
      </c>
      <c r="Q53" s="8"/>
      <c r="R53" s="8" t="s">
        <v>743</v>
      </c>
      <c r="S53" s="27" t="s">
        <v>744</v>
      </c>
      <c r="T53" s="14" t="s">
        <v>745</v>
      </c>
      <c r="U53" s="8"/>
      <c r="V53" s="17"/>
      <c r="W53" s="17"/>
      <c r="X53" s="7">
        <f t="shared" ca="1" si="2"/>
        <v>26</v>
      </c>
      <c r="Y53" s="17" t="s">
        <v>443</v>
      </c>
      <c r="Z53" s="7" t="s">
        <v>746</v>
      </c>
      <c r="AA53" s="21">
        <v>45125</v>
      </c>
      <c r="AB53" s="7" t="s">
        <v>747</v>
      </c>
      <c r="AC53" s="7" t="s">
        <v>396</v>
      </c>
    </row>
    <row r="54" spans="1:29">
      <c r="A54" s="3"/>
      <c r="B54" s="4">
        <v>48</v>
      </c>
      <c r="C54" s="8" t="s">
        <v>748</v>
      </c>
      <c r="D54" s="8" t="s">
        <v>749</v>
      </c>
      <c r="E54" s="9" t="s">
        <v>18</v>
      </c>
      <c r="F54" s="10">
        <v>27844</v>
      </c>
      <c r="G54" s="11" t="str">
        <f t="shared" si="3"/>
        <v>昭和51年03月25日</v>
      </c>
      <c r="H54" s="12">
        <f t="shared" ca="1" si="1"/>
        <v>48</v>
      </c>
      <c r="I54" s="8">
        <v>426573</v>
      </c>
      <c r="J54" s="10">
        <v>37386</v>
      </c>
      <c r="K54" s="10">
        <v>37403</v>
      </c>
      <c r="L54" s="39"/>
      <c r="M54" s="8"/>
      <c r="N54" s="8"/>
      <c r="O54" s="13"/>
      <c r="P54" s="8"/>
      <c r="Q54" s="8"/>
      <c r="R54" s="8" t="s">
        <v>743</v>
      </c>
      <c r="S54" s="27" t="s">
        <v>744</v>
      </c>
      <c r="T54" s="28" t="s">
        <v>745</v>
      </c>
      <c r="U54" s="8"/>
      <c r="V54" s="15"/>
      <c r="W54" s="15"/>
      <c r="X54" s="7">
        <f t="shared" ca="1" si="2"/>
        <v>22</v>
      </c>
      <c r="Y54" s="15" t="s">
        <v>436</v>
      </c>
      <c r="Z54" s="29"/>
      <c r="AA54" s="7" t="s">
        <v>750</v>
      </c>
      <c r="AB54" s="7" t="s">
        <v>751</v>
      </c>
      <c r="AC54" s="7" t="s">
        <v>752</v>
      </c>
    </row>
    <row r="55" spans="1:29">
      <c r="A55" s="3"/>
      <c r="B55" s="4">
        <v>49</v>
      </c>
      <c r="C55" s="8" t="s">
        <v>753</v>
      </c>
      <c r="D55" s="8" t="s">
        <v>754</v>
      </c>
      <c r="E55" s="16" t="s">
        <v>439</v>
      </c>
      <c r="F55" s="10">
        <v>26451</v>
      </c>
      <c r="G55" s="11" t="str">
        <f t="shared" si="3"/>
        <v>昭和47年06月01日</v>
      </c>
      <c r="H55" s="12">
        <f t="shared" ca="1" si="1"/>
        <v>52</v>
      </c>
      <c r="I55" s="8">
        <v>419686</v>
      </c>
      <c r="J55" s="10">
        <v>37025</v>
      </c>
      <c r="K55" s="10">
        <v>38231</v>
      </c>
      <c r="L55" s="39"/>
      <c r="M55" s="8" t="s">
        <v>428</v>
      </c>
      <c r="N55" s="8" t="s">
        <v>181</v>
      </c>
      <c r="O55" s="13" t="s">
        <v>430</v>
      </c>
      <c r="P55" s="8" t="s">
        <v>19</v>
      </c>
      <c r="Q55" s="8"/>
      <c r="R55" s="8" t="s">
        <v>755</v>
      </c>
      <c r="S55" s="13" t="s">
        <v>756</v>
      </c>
      <c r="T55" s="14" t="s">
        <v>757</v>
      </c>
      <c r="U55" s="8"/>
      <c r="V55" s="17"/>
      <c r="W55" s="17"/>
      <c r="X55" s="7">
        <f t="shared" ca="1" si="2"/>
        <v>23</v>
      </c>
      <c r="Y55" s="17" t="s">
        <v>436</v>
      </c>
      <c r="AB55" s="7" t="s">
        <v>758</v>
      </c>
      <c r="AC55" s="7">
        <v>197261</v>
      </c>
    </row>
    <row r="56" spans="1:29">
      <c r="A56" s="3"/>
      <c r="B56" s="4">
        <v>50</v>
      </c>
      <c r="C56" s="8" t="s">
        <v>759</v>
      </c>
      <c r="D56" s="8" t="s">
        <v>760</v>
      </c>
      <c r="E56" s="9" t="s">
        <v>18</v>
      </c>
      <c r="F56" s="10">
        <v>27016</v>
      </c>
      <c r="G56" s="11" t="str">
        <f t="shared" si="3"/>
        <v>昭和48年12月18日</v>
      </c>
      <c r="H56" s="12">
        <f t="shared" ca="1" si="1"/>
        <v>50</v>
      </c>
      <c r="I56" s="8">
        <v>413194</v>
      </c>
      <c r="J56" s="10" t="s">
        <v>761</v>
      </c>
      <c r="K56" s="10">
        <v>36677</v>
      </c>
      <c r="L56" s="39"/>
      <c r="M56" s="8" t="s">
        <v>570</v>
      </c>
      <c r="N56" s="8" t="s">
        <v>571</v>
      </c>
      <c r="O56" s="13" t="s">
        <v>572</v>
      </c>
      <c r="P56" s="8" t="s">
        <v>573</v>
      </c>
      <c r="Q56" s="8"/>
      <c r="R56" s="8" t="s">
        <v>762</v>
      </c>
      <c r="S56" s="13" t="s">
        <v>763</v>
      </c>
      <c r="T56" s="14" t="s">
        <v>764</v>
      </c>
      <c r="U56" s="8"/>
      <c r="V56" s="17"/>
      <c r="W56" s="17"/>
      <c r="X56" s="7" t="e">
        <f t="shared" ca="1" si="2"/>
        <v>#VALUE!</v>
      </c>
      <c r="Y56" s="17" t="s">
        <v>436</v>
      </c>
      <c r="AB56" s="7" t="s">
        <v>765</v>
      </c>
      <c r="AC56" s="7">
        <v>19731218</v>
      </c>
    </row>
    <row r="57" spans="1:29" ht="36">
      <c r="A57" s="3"/>
      <c r="B57" s="4">
        <v>51</v>
      </c>
      <c r="C57" s="8" t="s">
        <v>766</v>
      </c>
      <c r="D57" s="8" t="s">
        <v>767</v>
      </c>
      <c r="E57" s="9" t="s">
        <v>18</v>
      </c>
      <c r="F57" s="10">
        <v>28213</v>
      </c>
      <c r="G57" s="11" t="str">
        <f t="shared" si="3"/>
        <v>昭和52年03月29日</v>
      </c>
      <c r="H57" s="12">
        <f t="shared" ca="1" si="1"/>
        <v>47</v>
      </c>
      <c r="I57" s="8">
        <v>419699</v>
      </c>
      <c r="J57" s="10">
        <v>37025</v>
      </c>
      <c r="K57" s="10">
        <v>37041</v>
      </c>
      <c r="L57" s="39"/>
      <c r="M57" s="8" t="s">
        <v>768</v>
      </c>
      <c r="N57" s="8" t="s">
        <v>769</v>
      </c>
      <c r="O57" s="13" t="s">
        <v>770</v>
      </c>
      <c r="P57" s="8" t="s">
        <v>771</v>
      </c>
      <c r="Q57" s="8"/>
      <c r="R57" s="8" t="s">
        <v>772</v>
      </c>
      <c r="S57" s="13" t="s">
        <v>773</v>
      </c>
      <c r="T57" s="14" t="s">
        <v>182</v>
      </c>
      <c r="U57" s="14" t="s">
        <v>774</v>
      </c>
      <c r="V57" s="30"/>
      <c r="W57" s="30"/>
      <c r="X57" s="7">
        <f t="shared" ca="1" si="2"/>
        <v>23</v>
      </c>
      <c r="Y57" s="30" t="s">
        <v>436</v>
      </c>
      <c r="AB57" s="7" t="s">
        <v>775</v>
      </c>
      <c r="AC57" s="7" t="s">
        <v>776</v>
      </c>
    </row>
    <row r="58" spans="1:29" ht="36">
      <c r="A58" s="3"/>
      <c r="B58" s="4">
        <v>52</v>
      </c>
      <c r="C58" s="8" t="s">
        <v>777</v>
      </c>
      <c r="D58" s="8" t="s">
        <v>183</v>
      </c>
      <c r="E58" s="4" t="s">
        <v>32</v>
      </c>
      <c r="F58" s="10">
        <v>23947</v>
      </c>
      <c r="G58" s="11" t="str">
        <f t="shared" si="3"/>
        <v>昭和40年07月24日</v>
      </c>
      <c r="H58" s="12">
        <f t="shared" ca="1" si="1"/>
        <v>59</v>
      </c>
      <c r="I58" s="8">
        <v>342384</v>
      </c>
      <c r="J58" s="10">
        <v>33389</v>
      </c>
      <c r="K58" s="10">
        <v>33989</v>
      </c>
      <c r="L58" s="39"/>
      <c r="M58" s="8" t="s">
        <v>604</v>
      </c>
      <c r="N58" s="8" t="s">
        <v>508</v>
      </c>
      <c r="O58" s="13" t="s">
        <v>121</v>
      </c>
      <c r="P58" s="8" t="s">
        <v>184</v>
      </c>
      <c r="Q58" s="8"/>
      <c r="R58" s="8" t="s">
        <v>40</v>
      </c>
      <c r="S58" s="13" t="s">
        <v>778</v>
      </c>
      <c r="T58" s="14" t="s">
        <v>185</v>
      </c>
      <c r="U58" s="8"/>
      <c r="V58" s="17"/>
      <c r="W58" s="17" t="s">
        <v>435</v>
      </c>
      <c r="X58" s="7">
        <f t="shared" ca="1" si="2"/>
        <v>33</v>
      </c>
      <c r="Y58" s="43" t="s">
        <v>511</v>
      </c>
      <c r="AB58" s="7" t="s">
        <v>779</v>
      </c>
      <c r="AC58" s="7">
        <v>34238410522</v>
      </c>
    </row>
    <row r="59" spans="1:29">
      <c r="A59" s="3"/>
      <c r="B59" s="4">
        <v>53</v>
      </c>
      <c r="C59" s="8" t="s">
        <v>780</v>
      </c>
      <c r="D59" s="8" t="s">
        <v>781</v>
      </c>
      <c r="E59" s="4" t="s">
        <v>32</v>
      </c>
      <c r="F59" s="10">
        <v>16154</v>
      </c>
      <c r="G59" s="11" t="str">
        <f t="shared" si="3"/>
        <v>昭和19年03月23日</v>
      </c>
      <c r="H59" s="12">
        <f t="shared" ca="1" si="1"/>
        <v>80</v>
      </c>
      <c r="I59" s="8">
        <v>202253</v>
      </c>
      <c r="J59" s="10">
        <v>25350</v>
      </c>
      <c r="K59" s="10"/>
      <c r="L59" s="39"/>
      <c r="M59" s="8"/>
      <c r="N59" s="8"/>
      <c r="O59" s="13"/>
      <c r="P59" s="8"/>
      <c r="Q59" s="8"/>
      <c r="R59" s="8" t="s">
        <v>782</v>
      </c>
      <c r="S59" s="13" t="s">
        <v>186</v>
      </c>
      <c r="T59" s="14" t="s">
        <v>187</v>
      </c>
      <c r="U59" s="8"/>
      <c r="V59" s="17"/>
      <c r="W59" s="17"/>
      <c r="X59" s="7">
        <f t="shared" ca="1" si="2"/>
        <v>55</v>
      </c>
      <c r="Y59" s="17" t="s">
        <v>436</v>
      </c>
      <c r="AB59" s="7" t="s">
        <v>783</v>
      </c>
      <c r="AC59" s="7" t="s">
        <v>784</v>
      </c>
    </row>
    <row r="60" spans="1:29">
      <c r="A60" s="3" t="s">
        <v>785</v>
      </c>
      <c r="B60" s="4">
        <v>54</v>
      </c>
      <c r="C60" s="8" t="s">
        <v>786</v>
      </c>
      <c r="D60" s="8" t="s">
        <v>787</v>
      </c>
      <c r="E60" s="4" t="s">
        <v>32</v>
      </c>
      <c r="F60" s="10">
        <v>21237</v>
      </c>
      <c r="G60" s="11" t="str">
        <f t="shared" si="3"/>
        <v>昭和33年02月21日</v>
      </c>
      <c r="H60" s="12">
        <f t="shared" ca="1" si="1"/>
        <v>66</v>
      </c>
      <c r="I60" s="8">
        <v>302222</v>
      </c>
      <c r="J60" s="10">
        <v>31572</v>
      </c>
      <c r="K60" s="10"/>
      <c r="L60" s="39"/>
      <c r="M60" s="8" t="s">
        <v>188</v>
      </c>
      <c r="N60" s="8" t="s">
        <v>189</v>
      </c>
      <c r="O60" s="13" t="s">
        <v>788</v>
      </c>
      <c r="P60" s="8" t="s">
        <v>190</v>
      </c>
      <c r="Q60" s="8"/>
      <c r="R60" s="8" t="s">
        <v>191</v>
      </c>
      <c r="S60" s="13" t="s">
        <v>192</v>
      </c>
      <c r="T60" s="14" t="s">
        <v>193</v>
      </c>
      <c r="U60" s="8"/>
      <c r="V60" s="15"/>
      <c r="W60" s="15"/>
      <c r="X60" s="7">
        <f t="shared" ca="1" si="2"/>
        <v>38</v>
      </c>
      <c r="Y60" s="15" t="s">
        <v>443</v>
      </c>
      <c r="AB60" s="7" t="s">
        <v>789</v>
      </c>
      <c r="AC60" s="7" t="s">
        <v>790</v>
      </c>
    </row>
    <row r="61" spans="1:29">
      <c r="A61" s="3"/>
      <c r="B61" s="4">
        <v>55</v>
      </c>
      <c r="C61" s="8" t="s">
        <v>791</v>
      </c>
      <c r="D61" s="8" t="s">
        <v>194</v>
      </c>
      <c r="E61" s="4" t="s">
        <v>32</v>
      </c>
      <c r="F61" s="10">
        <v>23192</v>
      </c>
      <c r="G61" s="11" t="str">
        <f t="shared" si="3"/>
        <v>昭和38年06月30日</v>
      </c>
      <c r="H61" s="12">
        <f t="shared" ca="1" si="1"/>
        <v>61</v>
      </c>
      <c r="I61" s="8">
        <v>342385</v>
      </c>
      <c r="J61" s="10">
        <v>33389</v>
      </c>
      <c r="K61" s="10">
        <v>33989</v>
      </c>
      <c r="L61" s="39"/>
      <c r="M61" s="8" t="s">
        <v>195</v>
      </c>
      <c r="N61" s="8" t="s">
        <v>196</v>
      </c>
      <c r="O61" s="13" t="s">
        <v>197</v>
      </c>
      <c r="P61" s="8" t="s">
        <v>198</v>
      </c>
      <c r="Q61" s="47" t="s">
        <v>370</v>
      </c>
      <c r="R61" s="8" t="s">
        <v>199</v>
      </c>
      <c r="S61" s="13" t="s">
        <v>200</v>
      </c>
      <c r="T61" s="14" t="s">
        <v>201</v>
      </c>
      <c r="U61" s="8"/>
      <c r="V61" s="52" t="s">
        <v>792</v>
      </c>
      <c r="W61" s="15" t="s">
        <v>435</v>
      </c>
      <c r="X61" s="7">
        <f t="shared" ca="1" si="2"/>
        <v>33</v>
      </c>
      <c r="Y61" s="15" t="s">
        <v>443</v>
      </c>
      <c r="AB61" s="7" t="s">
        <v>793</v>
      </c>
      <c r="AC61" s="7" t="s">
        <v>794</v>
      </c>
    </row>
    <row r="62" spans="1:29">
      <c r="A62" s="3"/>
      <c r="B62" s="4">
        <v>56</v>
      </c>
      <c r="C62" s="8" t="s">
        <v>795</v>
      </c>
      <c r="D62" s="8" t="s">
        <v>796</v>
      </c>
      <c r="E62" s="9" t="s">
        <v>18</v>
      </c>
      <c r="F62" s="10">
        <v>21396</v>
      </c>
      <c r="G62" s="11" t="str">
        <f t="shared" si="3"/>
        <v>昭和33年07月30日</v>
      </c>
      <c r="H62" s="12">
        <f t="shared" ca="1" si="1"/>
        <v>66</v>
      </c>
      <c r="I62" s="8">
        <v>275485</v>
      </c>
      <c r="J62" s="10">
        <v>30466</v>
      </c>
      <c r="K62" s="10">
        <v>30508</v>
      </c>
      <c r="L62" s="39"/>
      <c r="M62" s="8" t="s">
        <v>202</v>
      </c>
      <c r="N62" s="8" t="s">
        <v>203</v>
      </c>
      <c r="O62" s="13" t="s">
        <v>797</v>
      </c>
      <c r="P62" s="8" t="s">
        <v>798</v>
      </c>
      <c r="Q62" s="53" t="s">
        <v>371</v>
      </c>
      <c r="R62" s="8" t="s">
        <v>203</v>
      </c>
      <c r="S62" s="13" t="s">
        <v>204</v>
      </c>
      <c r="T62" s="14" t="s">
        <v>205</v>
      </c>
      <c r="U62" s="8"/>
      <c r="V62" s="48" t="s">
        <v>799</v>
      </c>
      <c r="W62" s="15" t="s">
        <v>435</v>
      </c>
      <c r="X62" s="7">
        <f t="shared" ca="1" si="2"/>
        <v>41</v>
      </c>
      <c r="Y62" s="15" t="s">
        <v>443</v>
      </c>
      <c r="AB62" s="7" t="s">
        <v>800</v>
      </c>
      <c r="AC62" s="7" t="s">
        <v>801</v>
      </c>
    </row>
    <row r="63" spans="1:29" ht="36">
      <c r="A63" s="3"/>
      <c r="B63" s="4">
        <v>57</v>
      </c>
      <c r="C63" s="8" t="s">
        <v>802</v>
      </c>
      <c r="D63" s="8" t="s">
        <v>206</v>
      </c>
      <c r="E63" s="9" t="s">
        <v>18</v>
      </c>
      <c r="F63" s="10">
        <v>26837</v>
      </c>
      <c r="G63" s="11" t="str">
        <f t="shared" si="3"/>
        <v>昭和48年06月22日</v>
      </c>
      <c r="H63" s="12">
        <f t="shared" ca="1" si="1"/>
        <v>51</v>
      </c>
      <c r="I63" s="8">
        <v>402635</v>
      </c>
      <c r="J63" s="10">
        <v>36286</v>
      </c>
      <c r="K63" s="10">
        <v>38014</v>
      </c>
      <c r="L63" s="39"/>
      <c r="M63" s="8" t="s">
        <v>207</v>
      </c>
      <c r="N63" s="8" t="s">
        <v>208</v>
      </c>
      <c r="O63" s="13" t="s">
        <v>209</v>
      </c>
      <c r="P63" s="8" t="s">
        <v>210</v>
      </c>
      <c r="Q63" s="8"/>
      <c r="R63" s="8" t="s">
        <v>211</v>
      </c>
      <c r="S63" s="13" t="s">
        <v>212</v>
      </c>
      <c r="T63" s="14" t="s">
        <v>213</v>
      </c>
      <c r="U63" s="8"/>
      <c r="V63" s="17"/>
      <c r="W63" s="17"/>
      <c r="X63" s="7">
        <f t="shared" ca="1" si="2"/>
        <v>25</v>
      </c>
      <c r="Y63" s="17" t="s">
        <v>436</v>
      </c>
      <c r="AB63" s="7" t="s">
        <v>803</v>
      </c>
      <c r="AC63" s="7">
        <v>14774</v>
      </c>
    </row>
    <row r="64" spans="1:29">
      <c r="A64" s="3"/>
      <c r="B64" s="4">
        <v>58</v>
      </c>
      <c r="C64" s="8" t="s">
        <v>804</v>
      </c>
      <c r="D64" s="8" t="s">
        <v>214</v>
      </c>
      <c r="E64" s="4" t="s">
        <v>32</v>
      </c>
      <c r="F64" s="10">
        <v>27548</v>
      </c>
      <c r="G64" s="11" t="str">
        <f t="shared" si="3"/>
        <v>昭和50年06月03日</v>
      </c>
      <c r="H64" s="12">
        <f t="shared" ca="1" si="1"/>
        <v>49</v>
      </c>
      <c r="I64" s="8">
        <v>426572</v>
      </c>
      <c r="J64" s="10">
        <v>37386</v>
      </c>
      <c r="K64" s="10">
        <v>37403</v>
      </c>
      <c r="L64" s="39"/>
      <c r="M64" s="8" t="s">
        <v>703</v>
      </c>
      <c r="N64" s="8" t="s">
        <v>73</v>
      </c>
      <c r="O64" s="13" t="s">
        <v>704</v>
      </c>
      <c r="P64" s="8" t="s">
        <v>705</v>
      </c>
      <c r="Q64" s="8"/>
      <c r="R64" s="8" t="s">
        <v>73</v>
      </c>
      <c r="S64" s="13" t="s">
        <v>704</v>
      </c>
      <c r="T64" s="14" t="s">
        <v>805</v>
      </c>
      <c r="U64" s="8"/>
      <c r="V64" s="15"/>
      <c r="W64" s="15" t="s">
        <v>435</v>
      </c>
      <c r="X64" s="7">
        <f t="shared" ca="1" si="2"/>
        <v>22</v>
      </c>
      <c r="Y64" s="15" t="s">
        <v>443</v>
      </c>
      <c r="AB64" s="7" t="s">
        <v>806</v>
      </c>
      <c r="AC64" s="7" t="s">
        <v>807</v>
      </c>
    </row>
    <row r="65" spans="1:29" ht="36">
      <c r="A65" s="3"/>
      <c r="B65" s="4">
        <v>59</v>
      </c>
      <c r="C65" s="8" t="s">
        <v>808</v>
      </c>
      <c r="D65" s="8" t="s">
        <v>809</v>
      </c>
      <c r="E65" s="4" t="s">
        <v>447</v>
      </c>
      <c r="F65" s="10">
        <v>34515</v>
      </c>
      <c r="G65" s="11" t="str">
        <f t="shared" si="3"/>
        <v>平成06年06月30日</v>
      </c>
      <c r="H65" s="12">
        <f t="shared" ca="1" si="1"/>
        <v>30</v>
      </c>
      <c r="I65" s="8">
        <v>580129</v>
      </c>
      <c r="J65" s="10">
        <v>44284</v>
      </c>
      <c r="K65" s="10">
        <v>45017</v>
      </c>
      <c r="L65" s="39"/>
      <c r="M65" s="8" t="s">
        <v>810</v>
      </c>
      <c r="N65" s="8" t="s">
        <v>618</v>
      </c>
      <c r="O65" s="13" t="s">
        <v>811</v>
      </c>
      <c r="P65" s="8" t="s">
        <v>618</v>
      </c>
      <c r="Q65" s="8"/>
      <c r="R65" s="8" t="s">
        <v>812</v>
      </c>
      <c r="S65" s="13" t="s">
        <v>813</v>
      </c>
      <c r="T65" s="14" t="s">
        <v>814</v>
      </c>
      <c r="U65" s="8"/>
      <c r="V65" s="42" t="s">
        <v>815</v>
      </c>
      <c r="W65" s="17"/>
      <c r="X65" s="7">
        <f t="shared" ca="1" si="2"/>
        <v>3</v>
      </c>
      <c r="Y65" s="17" t="s">
        <v>654</v>
      </c>
      <c r="Z65" s="31"/>
      <c r="AB65" s="7" t="s">
        <v>816</v>
      </c>
      <c r="AC65" s="7" t="s">
        <v>817</v>
      </c>
    </row>
    <row r="66" spans="1:29">
      <c r="A66" s="3"/>
      <c r="B66" s="4">
        <v>60</v>
      </c>
      <c r="C66" s="8" t="s">
        <v>818</v>
      </c>
      <c r="D66" s="8" t="s">
        <v>215</v>
      </c>
      <c r="E66" s="4" t="s">
        <v>32</v>
      </c>
      <c r="F66" s="32">
        <v>22596</v>
      </c>
      <c r="G66" s="11" t="str">
        <f t="shared" si="3"/>
        <v>昭和36年11月11日</v>
      </c>
      <c r="H66" s="12">
        <f t="shared" ca="1" si="1"/>
        <v>62</v>
      </c>
      <c r="I66" s="8">
        <v>326964</v>
      </c>
      <c r="J66" s="10">
        <v>32669</v>
      </c>
      <c r="K66" s="10">
        <v>33612</v>
      </c>
      <c r="L66" s="39"/>
      <c r="M66" s="8"/>
      <c r="N66" s="8"/>
      <c r="O66" s="13"/>
      <c r="P66" s="8"/>
      <c r="Q66" s="8"/>
      <c r="R66" s="8" t="s">
        <v>216</v>
      </c>
      <c r="S66" s="13" t="s">
        <v>217</v>
      </c>
      <c r="T66" s="14"/>
      <c r="U66" s="8"/>
      <c r="V66" s="17"/>
      <c r="W66" s="17"/>
      <c r="X66" s="7">
        <f t="shared" ca="1" si="2"/>
        <v>35</v>
      </c>
      <c r="Y66" s="17" t="s">
        <v>436</v>
      </c>
      <c r="Z66" s="7" t="s">
        <v>819</v>
      </c>
      <c r="AB66" s="7" t="s">
        <v>820</v>
      </c>
      <c r="AC66" s="7" t="s">
        <v>821</v>
      </c>
    </row>
    <row r="67" spans="1:29" ht="36">
      <c r="A67" s="3"/>
      <c r="B67" s="4">
        <v>61</v>
      </c>
      <c r="C67" s="8" t="s">
        <v>822</v>
      </c>
      <c r="D67" s="8" t="s">
        <v>823</v>
      </c>
      <c r="E67" s="4" t="s">
        <v>447</v>
      </c>
      <c r="F67" s="10">
        <v>28501</v>
      </c>
      <c r="G67" s="11" t="str">
        <f t="shared" si="3"/>
        <v>昭和53年01月11日</v>
      </c>
      <c r="H67" s="12">
        <f t="shared" ca="1" si="1"/>
        <v>46</v>
      </c>
      <c r="I67" s="8">
        <v>517898</v>
      </c>
      <c r="J67" s="10">
        <v>41726</v>
      </c>
      <c r="K67" s="10">
        <v>42461</v>
      </c>
      <c r="L67" s="39"/>
      <c r="M67" s="8" t="s">
        <v>824</v>
      </c>
      <c r="N67" s="8" t="s">
        <v>508</v>
      </c>
      <c r="O67" s="13" t="s">
        <v>605</v>
      </c>
      <c r="P67" s="8" t="s">
        <v>112</v>
      </c>
      <c r="Q67" s="8"/>
      <c r="R67" s="8" t="s">
        <v>508</v>
      </c>
      <c r="S67" s="13" t="s">
        <v>825</v>
      </c>
      <c r="T67" s="14" t="s">
        <v>826</v>
      </c>
      <c r="U67" s="8"/>
      <c r="V67" s="17"/>
      <c r="W67" s="17" t="s">
        <v>435</v>
      </c>
      <c r="X67" s="7">
        <f t="shared" ca="1" si="2"/>
        <v>10</v>
      </c>
      <c r="Y67" s="43" t="s">
        <v>511</v>
      </c>
      <c r="AB67" s="7" t="s">
        <v>827</v>
      </c>
      <c r="AC67" s="7" t="s">
        <v>828</v>
      </c>
    </row>
    <row r="68" spans="1:29">
      <c r="A68" s="3"/>
      <c r="B68" s="4">
        <v>62</v>
      </c>
      <c r="C68" s="8" t="s">
        <v>829</v>
      </c>
      <c r="D68" s="8" t="s">
        <v>218</v>
      </c>
      <c r="E68" s="9" t="s">
        <v>18</v>
      </c>
      <c r="F68" s="10">
        <v>18657</v>
      </c>
      <c r="G68" s="11" t="str">
        <f t="shared" si="3"/>
        <v>昭和26年01月29日</v>
      </c>
      <c r="H68" s="12">
        <f t="shared" ref="H68:H111" ca="1" si="4">DATEDIF(F68,M$1,"Y")</f>
        <v>73</v>
      </c>
      <c r="I68" s="8">
        <v>228706</v>
      </c>
      <c r="J68" s="10">
        <v>27739</v>
      </c>
      <c r="K68" s="10"/>
      <c r="L68" s="39"/>
      <c r="M68" s="8"/>
      <c r="N68" s="8"/>
      <c r="O68" s="13"/>
      <c r="P68" s="8"/>
      <c r="Q68" s="8"/>
      <c r="R68" s="8" t="s">
        <v>189</v>
      </c>
      <c r="S68" s="13" t="s">
        <v>219</v>
      </c>
      <c r="T68" s="14" t="s">
        <v>220</v>
      </c>
      <c r="U68" s="8"/>
      <c r="V68" s="17"/>
      <c r="W68" s="17"/>
      <c r="X68" s="7">
        <f t="shared" ca="1" si="2"/>
        <v>49</v>
      </c>
      <c r="Y68" s="17" t="s">
        <v>830</v>
      </c>
      <c r="Z68" s="7" t="s">
        <v>831</v>
      </c>
      <c r="AB68" s="7" t="s">
        <v>832</v>
      </c>
      <c r="AC68" s="7" t="s">
        <v>833</v>
      </c>
    </row>
    <row r="69" spans="1:29" ht="36">
      <c r="A69" s="3"/>
      <c r="B69" s="4">
        <v>63</v>
      </c>
      <c r="C69" s="8" t="s">
        <v>834</v>
      </c>
      <c r="D69" s="8" t="s">
        <v>221</v>
      </c>
      <c r="E69" s="16" t="s">
        <v>18</v>
      </c>
      <c r="F69" s="10">
        <v>24018</v>
      </c>
      <c r="G69" s="11" t="str">
        <f t="shared" si="3"/>
        <v>昭和40年10月03日</v>
      </c>
      <c r="H69" s="12">
        <f t="shared" ca="1" si="4"/>
        <v>58</v>
      </c>
      <c r="I69" s="8">
        <v>342379</v>
      </c>
      <c r="J69" s="10">
        <v>33389</v>
      </c>
      <c r="K69" s="10">
        <v>33989</v>
      </c>
      <c r="L69" s="39"/>
      <c r="M69" s="8" t="s">
        <v>835</v>
      </c>
      <c r="N69" s="8" t="s">
        <v>208</v>
      </c>
      <c r="O69" s="13" t="s">
        <v>209</v>
      </c>
      <c r="P69" s="8" t="s">
        <v>210</v>
      </c>
      <c r="Q69" s="8"/>
      <c r="R69" s="8" t="s">
        <v>222</v>
      </c>
      <c r="S69" s="13" t="s">
        <v>223</v>
      </c>
      <c r="T69" s="14" t="s">
        <v>224</v>
      </c>
      <c r="U69" s="8"/>
      <c r="V69" s="17"/>
      <c r="W69" s="17"/>
      <c r="X69" s="7">
        <f t="shared" ca="1" si="2"/>
        <v>33</v>
      </c>
      <c r="Y69" s="17" t="s">
        <v>436</v>
      </c>
      <c r="AB69" s="7" t="s">
        <v>836</v>
      </c>
      <c r="AC69" s="7">
        <v>19651003</v>
      </c>
    </row>
    <row r="70" spans="1:29" ht="36">
      <c r="A70" s="3" t="s">
        <v>837</v>
      </c>
      <c r="B70" s="4">
        <v>64</v>
      </c>
      <c r="C70" s="8" t="s">
        <v>838</v>
      </c>
      <c r="D70" s="8" t="s">
        <v>225</v>
      </c>
      <c r="E70" s="9" t="s">
        <v>18</v>
      </c>
      <c r="F70" s="10">
        <v>22935</v>
      </c>
      <c r="G70" s="11" t="str">
        <f t="shared" si="3"/>
        <v>昭和37年10月16日</v>
      </c>
      <c r="H70" s="12">
        <f t="shared" ca="1" si="4"/>
        <v>61</v>
      </c>
      <c r="I70" s="8">
        <v>307458</v>
      </c>
      <c r="J70" s="10">
        <v>31924</v>
      </c>
      <c r="K70" s="10">
        <v>32185</v>
      </c>
      <c r="L70" s="39"/>
      <c r="M70" s="8" t="s">
        <v>226</v>
      </c>
      <c r="N70" s="8" t="s">
        <v>227</v>
      </c>
      <c r="O70" s="13" t="s">
        <v>228</v>
      </c>
      <c r="P70" s="8" t="s">
        <v>229</v>
      </c>
      <c r="Q70" s="8"/>
      <c r="R70" s="8" t="s">
        <v>227</v>
      </c>
      <c r="S70" s="13" t="s">
        <v>839</v>
      </c>
      <c r="T70" s="14" t="s">
        <v>230</v>
      </c>
      <c r="U70" s="8"/>
      <c r="V70" s="15"/>
      <c r="W70" s="15"/>
      <c r="X70" s="7">
        <f t="shared" ref="X70:X111" ca="1" si="5">YEAR($M$1)-YEAR($J70)</f>
        <v>37</v>
      </c>
      <c r="Y70" s="15" t="s">
        <v>443</v>
      </c>
      <c r="AB70" s="7" t="s">
        <v>840</v>
      </c>
      <c r="AC70" s="7" t="s">
        <v>841</v>
      </c>
    </row>
    <row r="71" spans="1:29" ht="36">
      <c r="A71" s="3"/>
      <c r="B71" s="4">
        <v>65</v>
      </c>
      <c r="C71" s="8" t="s">
        <v>842</v>
      </c>
      <c r="D71" s="8" t="s">
        <v>231</v>
      </c>
      <c r="E71" s="4" t="s">
        <v>32</v>
      </c>
      <c r="F71" s="10">
        <v>25496</v>
      </c>
      <c r="G71" s="11" t="str">
        <f t="shared" si="3"/>
        <v>昭和44年10月20日</v>
      </c>
      <c r="H71" s="12">
        <f t="shared" ca="1" si="4"/>
        <v>54</v>
      </c>
      <c r="I71" s="8">
        <v>372263</v>
      </c>
      <c r="J71" s="10">
        <v>34827</v>
      </c>
      <c r="K71" s="10">
        <v>36280</v>
      </c>
      <c r="L71" s="39"/>
      <c r="M71" s="8" t="s">
        <v>843</v>
      </c>
      <c r="N71" s="8" t="s">
        <v>844</v>
      </c>
      <c r="O71" s="13" t="s">
        <v>845</v>
      </c>
      <c r="P71" s="8" t="s">
        <v>846</v>
      </c>
      <c r="Q71" s="8"/>
      <c r="R71" s="8" t="s">
        <v>847</v>
      </c>
      <c r="S71" s="13" t="s">
        <v>848</v>
      </c>
      <c r="T71" s="14" t="s">
        <v>849</v>
      </c>
      <c r="U71" s="8"/>
      <c r="V71" s="15"/>
      <c r="W71" s="15"/>
      <c r="X71" s="7">
        <f t="shared" ca="1" si="5"/>
        <v>29</v>
      </c>
      <c r="Y71" s="15" t="s">
        <v>436</v>
      </c>
      <c r="AB71" s="7" t="s">
        <v>850</v>
      </c>
      <c r="AC71" s="7" t="s">
        <v>851</v>
      </c>
    </row>
    <row r="72" spans="1:29">
      <c r="A72" s="3"/>
      <c r="B72" s="4">
        <v>66</v>
      </c>
      <c r="C72" s="8" t="s">
        <v>852</v>
      </c>
      <c r="D72" s="8" t="s">
        <v>232</v>
      </c>
      <c r="E72" s="4" t="s">
        <v>32</v>
      </c>
      <c r="F72" s="10">
        <v>21513</v>
      </c>
      <c r="G72" s="11" t="str">
        <f t="shared" si="3"/>
        <v>昭和33年11月24日</v>
      </c>
      <c r="H72" s="12">
        <f t="shared" ca="1" si="4"/>
        <v>65</v>
      </c>
      <c r="I72" s="8">
        <v>302133</v>
      </c>
      <c r="J72" s="10">
        <v>31572</v>
      </c>
      <c r="K72" s="10">
        <v>32185</v>
      </c>
      <c r="L72" s="39"/>
      <c r="M72" s="8" t="s">
        <v>233</v>
      </c>
      <c r="N72" s="8" t="s">
        <v>234</v>
      </c>
      <c r="O72" s="13" t="s">
        <v>853</v>
      </c>
      <c r="P72" s="8" t="s">
        <v>235</v>
      </c>
      <c r="Q72" s="8"/>
      <c r="R72" s="8" t="s">
        <v>854</v>
      </c>
      <c r="S72" s="13" t="s">
        <v>853</v>
      </c>
      <c r="T72" s="14" t="s">
        <v>855</v>
      </c>
      <c r="U72" s="8"/>
      <c r="V72" s="17"/>
      <c r="W72" s="17"/>
      <c r="X72" s="7">
        <f t="shared" ca="1" si="5"/>
        <v>38</v>
      </c>
      <c r="Y72" s="17" t="s">
        <v>443</v>
      </c>
      <c r="AB72" s="7" t="s">
        <v>856</v>
      </c>
      <c r="AC72" s="7">
        <v>19581124</v>
      </c>
    </row>
    <row r="73" spans="1:29" ht="36">
      <c r="A73" s="3"/>
      <c r="B73" s="4">
        <v>67</v>
      </c>
      <c r="C73" s="8" t="s">
        <v>857</v>
      </c>
      <c r="D73" s="8" t="s">
        <v>858</v>
      </c>
      <c r="E73" s="4" t="s">
        <v>439</v>
      </c>
      <c r="F73" s="10">
        <v>35150</v>
      </c>
      <c r="G73" s="11" t="str">
        <f t="shared" si="3"/>
        <v>平成08年03月26日</v>
      </c>
      <c r="H73" s="12">
        <f t="shared" ca="1" si="4"/>
        <v>28</v>
      </c>
      <c r="I73" s="8">
        <v>567402</v>
      </c>
      <c r="J73" s="10">
        <v>43917</v>
      </c>
      <c r="K73" s="10">
        <v>44676</v>
      </c>
      <c r="L73" s="39"/>
      <c r="M73" s="8" t="s">
        <v>859</v>
      </c>
      <c r="N73" s="8" t="s">
        <v>487</v>
      </c>
      <c r="O73" s="13" t="s">
        <v>860</v>
      </c>
      <c r="P73" s="8" t="s">
        <v>489</v>
      </c>
      <c r="Q73" s="8"/>
      <c r="R73" s="8" t="s">
        <v>861</v>
      </c>
      <c r="S73" s="13" t="s">
        <v>862</v>
      </c>
      <c r="T73" s="14" t="s">
        <v>863</v>
      </c>
      <c r="U73" s="8"/>
      <c r="V73" s="17"/>
      <c r="W73" s="17"/>
      <c r="X73" s="7">
        <f t="shared" ca="1" si="5"/>
        <v>4</v>
      </c>
      <c r="Y73" s="43" t="s">
        <v>494</v>
      </c>
      <c r="AB73" s="7" t="s">
        <v>864</v>
      </c>
      <c r="AC73" s="7">
        <v>960326</v>
      </c>
    </row>
    <row r="74" spans="1:29">
      <c r="A74" s="3"/>
      <c r="B74" s="4">
        <v>68</v>
      </c>
      <c r="C74" s="8" t="s">
        <v>865</v>
      </c>
      <c r="D74" s="8" t="s">
        <v>236</v>
      </c>
      <c r="E74" s="4" t="s">
        <v>32</v>
      </c>
      <c r="F74" s="10">
        <v>19045</v>
      </c>
      <c r="G74" s="11" t="str">
        <f t="shared" si="3"/>
        <v>昭和27年02月21日</v>
      </c>
      <c r="H74" s="12">
        <f t="shared" ca="1" si="4"/>
        <v>72</v>
      </c>
      <c r="I74" s="8">
        <v>248317</v>
      </c>
      <c r="J74" s="10">
        <v>29018</v>
      </c>
      <c r="K74" s="10"/>
      <c r="L74" s="39"/>
      <c r="M74" s="8" t="s">
        <v>866</v>
      </c>
      <c r="N74" s="8" t="s">
        <v>867</v>
      </c>
      <c r="O74" s="13" t="s">
        <v>237</v>
      </c>
      <c r="P74" s="8" t="s">
        <v>868</v>
      </c>
      <c r="Q74" s="8"/>
      <c r="R74" s="8" t="s">
        <v>238</v>
      </c>
      <c r="S74" s="13" t="s">
        <v>239</v>
      </c>
      <c r="T74" s="14" t="s">
        <v>240</v>
      </c>
      <c r="U74" s="8"/>
      <c r="V74" s="15"/>
      <c r="W74" s="15"/>
      <c r="X74" s="7">
        <f t="shared" ca="1" si="5"/>
        <v>45</v>
      </c>
      <c r="Y74" s="15" t="s">
        <v>443</v>
      </c>
      <c r="AB74" s="7" t="s">
        <v>869</v>
      </c>
      <c r="AC74" s="7" t="s">
        <v>870</v>
      </c>
    </row>
    <row r="75" spans="1:29" ht="36">
      <c r="A75" s="3"/>
      <c r="B75" s="4">
        <v>69</v>
      </c>
      <c r="C75" s="8" t="s">
        <v>871</v>
      </c>
      <c r="D75" s="8" t="s">
        <v>872</v>
      </c>
      <c r="E75" s="4" t="s">
        <v>447</v>
      </c>
      <c r="F75" s="10">
        <v>31949</v>
      </c>
      <c r="G75" s="11" t="str">
        <f t="shared" si="3"/>
        <v>昭和62年06月21日</v>
      </c>
      <c r="H75" s="12">
        <f t="shared" ca="1" si="4"/>
        <v>37</v>
      </c>
      <c r="I75" s="8">
        <v>567851</v>
      </c>
      <c r="J75" s="10">
        <v>43917</v>
      </c>
      <c r="K75" s="10">
        <v>44676</v>
      </c>
      <c r="L75" s="39"/>
      <c r="M75" s="8" t="s">
        <v>486</v>
      </c>
      <c r="N75" s="8" t="s">
        <v>487</v>
      </c>
      <c r="O75" s="13" t="s">
        <v>860</v>
      </c>
      <c r="P75" s="8" t="s">
        <v>489</v>
      </c>
      <c r="Q75" s="8"/>
      <c r="R75" s="8" t="s">
        <v>873</v>
      </c>
      <c r="S75" s="13" t="s">
        <v>874</v>
      </c>
      <c r="T75" s="14"/>
      <c r="U75" s="8" t="s">
        <v>875</v>
      </c>
      <c r="V75" s="17"/>
      <c r="W75" s="17"/>
      <c r="X75" s="7">
        <f t="shared" ca="1" si="5"/>
        <v>4</v>
      </c>
      <c r="Y75" s="43" t="s">
        <v>494</v>
      </c>
      <c r="AB75" s="7" t="s">
        <v>876</v>
      </c>
      <c r="AC75" s="7">
        <v>567851</v>
      </c>
    </row>
    <row r="76" spans="1:29">
      <c r="A76" s="3"/>
      <c r="B76" s="4">
        <v>70</v>
      </c>
      <c r="C76" s="8" t="s">
        <v>877</v>
      </c>
      <c r="D76" s="8" t="s">
        <v>241</v>
      </c>
      <c r="E76" s="9" t="s">
        <v>18</v>
      </c>
      <c r="F76" s="10">
        <v>14826</v>
      </c>
      <c r="G76" s="11" t="str">
        <f t="shared" si="3"/>
        <v>昭和15年08月03日</v>
      </c>
      <c r="H76" s="12">
        <f t="shared" ca="1" si="4"/>
        <v>84</v>
      </c>
      <c r="I76" s="8">
        <v>191376</v>
      </c>
      <c r="J76" s="8"/>
      <c r="K76" s="8"/>
      <c r="L76" s="39"/>
      <c r="M76" s="8"/>
      <c r="N76" s="8"/>
      <c r="O76" s="13"/>
      <c r="P76" s="8"/>
      <c r="Q76" s="8"/>
      <c r="R76" s="8" t="s">
        <v>191</v>
      </c>
      <c r="S76" s="13" t="s">
        <v>878</v>
      </c>
      <c r="T76" s="14" t="s">
        <v>242</v>
      </c>
      <c r="U76" s="8"/>
      <c r="V76" s="15"/>
      <c r="W76" s="15"/>
      <c r="X76" s="7">
        <f t="shared" ca="1" si="5"/>
        <v>124</v>
      </c>
      <c r="Y76" s="15" t="s">
        <v>469</v>
      </c>
      <c r="AB76" s="7" t="s">
        <v>879</v>
      </c>
      <c r="AC76" s="7" t="s">
        <v>880</v>
      </c>
    </row>
    <row r="77" spans="1:29">
      <c r="A77" s="3"/>
      <c r="B77" s="4">
        <v>71</v>
      </c>
      <c r="C77" s="8" t="s">
        <v>881</v>
      </c>
      <c r="D77" s="8" t="s">
        <v>243</v>
      </c>
      <c r="E77" s="16" t="s">
        <v>18</v>
      </c>
      <c r="F77" s="10">
        <v>23604</v>
      </c>
      <c r="G77" s="11" t="str">
        <f t="shared" si="3"/>
        <v>昭和39年08月15日</v>
      </c>
      <c r="H77" s="12">
        <f t="shared" ca="1" si="4"/>
        <v>60</v>
      </c>
      <c r="I77" s="8">
        <v>321257</v>
      </c>
      <c r="J77" s="10">
        <v>32652</v>
      </c>
      <c r="K77" s="10">
        <v>33035</v>
      </c>
      <c r="L77" s="39"/>
      <c r="M77" s="8" t="s">
        <v>882</v>
      </c>
      <c r="N77" s="8" t="s">
        <v>883</v>
      </c>
      <c r="O77" s="13" t="s">
        <v>884</v>
      </c>
      <c r="P77" s="8" t="s">
        <v>885</v>
      </c>
      <c r="Q77" s="8"/>
      <c r="R77" s="8" t="s">
        <v>886</v>
      </c>
      <c r="S77" s="13" t="s">
        <v>887</v>
      </c>
      <c r="T77" s="14" t="s">
        <v>244</v>
      </c>
      <c r="U77" s="8"/>
      <c r="V77" s="17"/>
      <c r="W77" s="17" t="s">
        <v>725</v>
      </c>
      <c r="X77" s="7">
        <f t="shared" ca="1" si="5"/>
        <v>35</v>
      </c>
      <c r="Y77" s="17" t="s">
        <v>443</v>
      </c>
      <c r="AB77" s="7" t="s">
        <v>888</v>
      </c>
      <c r="AC77" s="7" t="s">
        <v>889</v>
      </c>
    </row>
    <row r="78" spans="1:29" ht="36">
      <c r="A78" s="3"/>
      <c r="B78" s="4">
        <v>72</v>
      </c>
      <c r="C78" s="8" t="s">
        <v>890</v>
      </c>
      <c r="D78" s="8" t="s">
        <v>891</v>
      </c>
      <c r="E78" s="16" t="s">
        <v>18</v>
      </c>
      <c r="F78" s="32">
        <v>34514</v>
      </c>
      <c r="G78" s="11" t="str">
        <f t="shared" si="3"/>
        <v>平成06年06月29日</v>
      </c>
      <c r="H78" s="12">
        <f t="shared" ca="1" si="4"/>
        <v>30</v>
      </c>
      <c r="I78" s="8">
        <v>557646</v>
      </c>
      <c r="J78" s="10">
        <v>43546</v>
      </c>
      <c r="K78" s="10">
        <v>44287</v>
      </c>
      <c r="L78" s="39"/>
      <c r="M78" s="8" t="s">
        <v>892</v>
      </c>
      <c r="N78" s="8" t="s">
        <v>71</v>
      </c>
      <c r="O78" s="13" t="s">
        <v>98</v>
      </c>
      <c r="P78" s="8" t="s">
        <v>99</v>
      </c>
      <c r="Q78" s="8"/>
      <c r="R78" s="8" t="s">
        <v>508</v>
      </c>
      <c r="S78" s="13" t="s">
        <v>893</v>
      </c>
      <c r="T78" s="14" t="s">
        <v>894</v>
      </c>
      <c r="U78" s="8"/>
      <c r="V78" s="17"/>
      <c r="W78" s="17"/>
      <c r="X78" s="7">
        <f t="shared" ca="1" si="5"/>
        <v>5</v>
      </c>
      <c r="Y78" s="17" t="s">
        <v>654</v>
      </c>
      <c r="AB78" s="7" t="s">
        <v>895</v>
      </c>
      <c r="AC78" s="7">
        <v>19940629</v>
      </c>
    </row>
    <row r="79" spans="1:29">
      <c r="A79" s="3" t="s">
        <v>896</v>
      </c>
      <c r="B79" s="4">
        <v>73</v>
      </c>
      <c r="C79" s="8" t="s">
        <v>897</v>
      </c>
      <c r="D79" s="8" t="s">
        <v>245</v>
      </c>
      <c r="E79" s="4" t="s">
        <v>32</v>
      </c>
      <c r="F79" s="10">
        <v>19685</v>
      </c>
      <c r="G79" s="11" t="str">
        <f t="shared" si="3"/>
        <v>昭和28年11月22日</v>
      </c>
      <c r="H79" s="12">
        <f t="shared" ca="1" si="4"/>
        <v>70</v>
      </c>
      <c r="I79" s="8">
        <v>249803</v>
      </c>
      <c r="J79" s="8"/>
      <c r="K79" s="10">
        <v>30620</v>
      </c>
      <c r="L79" s="39"/>
      <c r="M79" s="8" t="s">
        <v>246</v>
      </c>
      <c r="N79" s="8" t="s">
        <v>247</v>
      </c>
      <c r="O79" s="13" t="s">
        <v>898</v>
      </c>
      <c r="P79" s="8" t="s">
        <v>248</v>
      </c>
      <c r="Q79" s="8"/>
      <c r="R79" s="8" t="s">
        <v>247</v>
      </c>
      <c r="S79" s="13" t="s">
        <v>249</v>
      </c>
      <c r="T79" s="14" t="s">
        <v>250</v>
      </c>
      <c r="U79" s="8"/>
      <c r="V79" s="15"/>
      <c r="W79" s="15"/>
      <c r="X79" s="7">
        <f t="shared" ca="1" si="5"/>
        <v>124</v>
      </c>
      <c r="Y79" s="15" t="s">
        <v>443</v>
      </c>
      <c r="AB79" s="7" t="s">
        <v>899</v>
      </c>
      <c r="AC79" s="7" t="s">
        <v>900</v>
      </c>
    </row>
    <row r="80" spans="1:29" ht="36">
      <c r="A80" s="3"/>
      <c r="B80" s="4">
        <v>74</v>
      </c>
      <c r="C80" s="8" t="s">
        <v>901</v>
      </c>
      <c r="D80" s="8" t="s">
        <v>902</v>
      </c>
      <c r="E80" s="16" t="s">
        <v>439</v>
      </c>
      <c r="F80" s="10">
        <v>28383</v>
      </c>
      <c r="G80" s="11" t="str">
        <f t="shared" si="3"/>
        <v>昭和52年09月15日</v>
      </c>
      <c r="H80" s="12">
        <f t="shared" ca="1" si="4"/>
        <v>46</v>
      </c>
      <c r="I80" s="8">
        <v>433619</v>
      </c>
      <c r="J80" s="10">
        <v>37748</v>
      </c>
      <c r="K80" s="10"/>
      <c r="L80" s="39"/>
      <c r="M80" s="8" t="s">
        <v>903</v>
      </c>
      <c r="N80" s="8" t="s">
        <v>580</v>
      </c>
      <c r="O80" s="13" t="s">
        <v>904</v>
      </c>
      <c r="P80" s="8" t="s">
        <v>905</v>
      </c>
      <c r="Q80" s="8"/>
      <c r="R80" s="8" t="s">
        <v>906</v>
      </c>
      <c r="S80" s="13" t="s">
        <v>907</v>
      </c>
      <c r="T80" s="14"/>
      <c r="U80" s="8"/>
      <c r="V80" s="15"/>
      <c r="W80" s="15"/>
      <c r="X80" s="7">
        <f t="shared" ca="1" si="5"/>
        <v>21</v>
      </c>
      <c r="Y80" s="15" t="s">
        <v>443</v>
      </c>
      <c r="AB80" s="7" t="s">
        <v>908</v>
      </c>
      <c r="AC80" s="7">
        <v>16640</v>
      </c>
    </row>
    <row r="81" spans="1:29" ht="36">
      <c r="A81" s="3"/>
      <c r="B81" s="4">
        <v>75</v>
      </c>
      <c r="C81" s="8" t="s">
        <v>909</v>
      </c>
      <c r="D81" s="8" t="s">
        <v>910</v>
      </c>
      <c r="E81" s="9" t="s">
        <v>439</v>
      </c>
      <c r="F81" s="10">
        <v>33276</v>
      </c>
      <c r="G81" s="11" t="str">
        <f t="shared" si="3"/>
        <v>平成03年02月07日</v>
      </c>
      <c r="H81" s="12">
        <f t="shared" ca="1" si="4"/>
        <v>33</v>
      </c>
      <c r="I81" s="8">
        <v>525097</v>
      </c>
      <c r="J81" s="10">
        <v>42089</v>
      </c>
      <c r="K81" s="10">
        <v>42813</v>
      </c>
      <c r="L81" s="39"/>
      <c r="M81" s="8" t="s">
        <v>911</v>
      </c>
      <c r="N81" s="8" t="s">
        <v>508</v>
      </c>
      <c r="O81" s="13" t="s">
        <v>605</v>
      </c>
      <c r="P81" s="8" t="s">
        <v>507</v>
      </c>
      <c r="Q81" s="8"/>
      <c r="R81" s="8" t="s">
        <v>587</v>
      </c>
      <c r="S81" s="13" t="s">
        <v>912</v>
      </c>
      <c r="T81" s="14" t="s">
        <v>913</v>
      </c>
      <c r="U81" s="8"/>
      <c r="V81" s="17"/>
      <c r="W81" s="17"/>
      <c r="X81" s="7">
        <f t="shared" ca="1" si="5"/>
        <v>9</v>
      </c>
      <c r="Y81" s="43" t="s">
        <v>511</v>
      </c>
      <c r="AB81" s="7" t="s">
        <v>914</v>
      </c>
      <c r="AC81" s="7" t="s">
        <v>915</v>
      </c>
    </row>
    <row r="82" spans="1:29">
      <c r="A82" s="3"/>
      <c r="B82" s="4">
        <v>76</v>
      </c>
      <c r="C82" s="8" t="s">
        <v>916</v>
      </c>
      <c r="D82" s="8" t="s">
        <v>917</v>
      </c>
      <c r="E82" s="9" t="s">
        <v>447</v>
      </c>
      <c r="F82" s="10">
        <v>35164</v>
      </c>
      <c r="G82" s="11" t="str">
        <f t="shared" si="3"/>
        <v>平成08年04月09日</v>
      </c>
      <c r="H82" s="12">
        <f t="shared" ca="1" si="4"/>
        <v>28</v>
      </c>
      <c r="I82" s="8">
        <v>579186</v>
      </c>
      <c r="J82" s="10">
        <v>44284</v>
      </c>
      <c r="K82" s="10">
        <v>45017</v>
      </c>
      <c r="L82" s="39"/>
      <c r="M82" s="8" t="s">
        <v>918</v>
      </c>
      <c r="N82" s="8" t="s">
        <v>487</v>
      </c>
      <c r="O82" s="13" t="s">
        <v>919</v>
      </c>
      <c r="P82" s="8" t="s">
        <v>489</v>
      </c>
      <c r="Q82" s="8"/>
      <c r="R82" s="8" t="s">
        <v>920</v>
      </c>
      <c r="S82" s="13" t="s">
        <v>921</v>
      </c>
      <c r="T82" s="14" t="s">
        <v>922</v>
      </c>
      <c r="U82" s="8"/>
      <c r="V82" s="17"/>
      <c r="W82" s="17"/>
      <c r="X82" s="7">
        <f t="shared" ca="1" si="5"/>
        <v>3</v>
      </c>
      <c r="Y82" s="43" t="s">
        <v>494</v>
      </c>
      <c r="AB82" s="7" t="s">
        <v>923</v>
      </c>
      <c r="AC82" s="7" t="s">
        <v>924</v>
      </c>
    </row>
    <row r="83" spans="1:29" ht="36">
      <c r="A83" s="3"/>
      <c r="B83" s="4">
        <v>77</v>
      </c>
      <c r="C83" s="8" t="s">
        <v>925</v>
      </c>
      <c r="D83" s="8" t="s">
        <v>251</v>
      </c>
      <c r="E83" s="4" t="s">
        <v>32</v>
      </c>
      <c r="F83" s="10">
        <v>26188</v>
      </c>
      <c r="G83" s="11" t="str">
        <f t="shared" si="3"/>
        <v>昭和46年09月12日</v>
      </c>
      <c r="H83" s="12">
        <f t="shared" ca="1" si="4"/>
        <v>52</v>
      </c>
      <c r="I83" s="8">
        <v>380648</v>
      </c>
      <c r="J83" s="10">
        <v>35192</v>
      </c>
      <c r="K83" s="10">
        <v>35216</v>
      </c>
      <c r="L83" s="39"/>
      <c r="M83" s="8" t="s">
        <v>926</v>
      </c>
      <c r="N83" s="8" t="s">
        <v>769</v>
      </c>
      <c r="O83" s="13" t="s">
        <v>770</v>
      </c>
      <c r="P83" s="8" t="s">
        <v>771</v>
      </c>
      <c r="Q83" s="8"/>
      <c r="R83" s="8" t="s">
        <v>927</v>
      </c>
      <c r="S83" s="13" t="s">
        <v>928</v>
      </c>
      <c r="T83" s="14" t="s">
        <v>929</v>
      </c>
      <c r="U83" s="8"/>
      <c r="V83" s="15"/>
      <c r="W83" s="15" t="s">
        <v>435</v>
      </c>
      <c r="X83" s="7">
        <f t="shared" ca="1" si="5"/>
        <v>28</v>
      </c>
      <c r="Y83" s="15" t="s">
        <v>443</v>
      </c>
      <c r="AB83" s="7" t="s">
        <v>930</v>
      </c>
      <c r="AC83" s="7" t="s">
        <v>931</v>
      </c>
    </row>
    <row r="84" spans="1:29">
      <c r="A84" s="3"/>
      <c r="B84" s="4">
        <v>78</v>
      </c>
      <c r="C84" s="8" t="s">
        <v>932</v>
      </c>
      <c r="D84" s="8" t="s">
        <v>252</v>
      </c>
      <c r="E84" s="9" t="s">
        <v>18</v>
      </c>
      <c r="F84" s="10">
        <v>25956</v>
      </c>
      <c r="G84" s="11" t="str">
        <f t="shared" si="3"/>
        <v>昭和46年01月23日</v>
      </c>
      <c r="H84" s="12">
        <f t="shared" ca="1" si="4"/>
        <v>53</v>
      </c>
      <c r="I84" s="8">
        <v>379494</v>
      </c>
      <c r="J84" s="10">
        <v>35185</v>
      </c>
      <c r="K84" s="10">
        <v>35223</v>
      </c>
      <c r="L84" s="39"/>
      <c r="M84" s="8" t="s">
        <v>133</v>
      </c>
      <c r="N84" s="8" t="s">
        <v>134</v>
      </c>
      <c r="O84" s="13" t="s">
        <v>135</v>
      </c>
      <c r="P84" s="8" t="s">
        <v>136</v>
      </c>
      <c r="Q84" s="8"/>
      <c r="R84" s="8" t="s">
        <v>63</v>
      </c>
      <c r="S84" s="13" t="s">
        <v>253</v>
      </c>
      <c r="T84" s="14" t="s">
        <v>254</v>
      </c>
      <c r="U84" s="8"/>
      <c r="V84" s="17"/>
      <c r="W84" s="17"/>
      <c r="X84" s="7">
        <f t="shared" ca="1" si="5"/>
        <v>28</v>
      </c>
      <c r="Y84" s="17" t="s">
        <v>436</v>
      </c>
      <c r="AB84" s="7" t="s">
        <v>933</v>
      </c>
      <c r="AC84" s="7">
        <v>19710123</v>
      </c>
    </row>
    <row r="85" spans="1:29">
      <c r="A85" s="3"/>
      <c r="B85" s="4">
        <v>79</v>
      </c>
      <c r="C85" s="8" t="s">
        <v>934</v>
      </c>
      <c r="D85" s="8" t="s">
        <v>255</v>
      </c>
      <c r="E85" s="4" t="s">
        <v>32</v>
      </c>
      <c r="F85" s="10">
        <v>13420</v>
      </c>
      <c r="G85" s="11" t="str">
        <f t="shared" si="3"/>
        <v>昭和11年09月27日</v>
      </c>
      <c r="H85" s="12">
        <f t="shared" ca="1" si="4"/>
        <v>87</v>
      </c>
      <c r="I85" s="8">
        <v>182422</v>
      </c>
      <c r="J85" s="10"/>
      <c r="K85" s="10"/>
      <c r="L85" s="39"/>
      <c r="M85" s="8"/>
      <c r="N85" s="8"/>
      <c r="O85" s="13"/>
      <c r="P85" s="8"/>
      <c r="Q85" s="8"/>
      <c r="R85" s="8" t="s">
        <v>256</v>
      </c>
      <c r="S85" s="13" t="s">
        <v>257</v>
      </c>
      <c r="T85" s="14" t="s">
        <v>258</v>
      </c>
      <c r="U85" s="8"/>
      <c r="V85" s="15"/>
      <c r="W85" s="15"/>
      <c r="Y85" s="15" t="s">
        <v>469</v>
      </c>
      <c r="AB85" s="7" t="s">
        <v>935</v>
      </c>
      <c r="AC85" s="51" t="s">
        <v>936</v>
      </c>
    </row>
    <row r="86" spans="1:29" ht="36">
      <c r="A86" s="3"/>
      <c r="B86" s="4">
        <v>80</v>
      </c>
      <c r="C86" s="8" t="s">
        <v>937</v>
      </c>
      <c r="D86" s="8" t="s">
        <v>259</v>
      </c>
      <c r="E86" s="4" t="s">
        <v>32</v>
      </c>
      <c r="F86" s="10">
        <v>21502</v>
      </c>
      <c r="G86" s="11" t="str">
        <f t="shared" si="3"/>
        <v>昭和33年11月13日</v>
      </c>
      <c r="H86" s="12">
        <f t="shared" ca="1" si="4"/>
        <v>65</v>
      </c>
      <c r="I86" s="8">
        <v>285086</v>
      </c>
      <c r="J86" s="10">
        <v>30838</v>
      </c>
      <c r="K86" s="10">
        <v>30966</v>
      </c>
      <c r="L86" s="39"/>
      <c r="M86" s="8" t="s">
        <v>938</v>
      </c>
      <c r="N86" s="8" t="s">
        <v>260</v>
      </c>
      <c r="O86" s="13" t="s">
        <v>939</v>
      </c>
      <c r="P86" s="8" t="s">
        <v>261</v>
      </c>
      <c r="Q86" s="8"/>
      <c r="R86" s="8" t="s">
        <v>262</v>
      </c>
      <c r="S86" s="13" t="s">
        <v>940</v>
      </c>
      <c r="T86" s="14" t="s">
        <v>941</v>
      </c>
      <c r="U86" s="8"/>
      <c r="V86" s="17"/>
      <c r="W86" s="17"/>
      <c r="X86" s="7">
        <f t="shared" ca="1" si="5"/>
        <v>40</v>
      </c>
      <c r="Y86" s="17" t="s">
        <v>443</v>
      </c>
      <c r="AB86" s="7" t="s">
        <v>942</v>
      </c>
      <c r="AC86" s="7" t="s">
        <v>943</v>
      </c>
    </row>
    <row r="87" spans="1:29" ht="36">
      <c r="A87" s="3"/>
      <c r="B87" s="4">
        <v>81</v>
      </c>
      <c r="C87" s="8" t="s">
        <v>944</v>
      </c>
      <c r="D87" s="8" t="s">
        <v>945</v>
      </c>
      <c r="E87" s="4" t="s">
        <v>447</v>
      </c>
      <c r="F87" s="10">
        <v>35415</v>
      </c>
      <c r="G87" s="11" t="str">
        <f t="shared" si="3"/>
        <v>平成08年12月16日</v>
      </c>
      <c r="H87" s="12">
        <f t="shared" ca="1" si="4"/>
        <v>27</v>
      </c>
      <c r="I87" s="8">
        <v>577198</v>
      </c>
      <c r="J87" s="10">
        <v>44280</v>
      </c>
      <c r="K87" s="10">
        <v>45015</v>
      </c>
      <c r="L87" s="39"/>
      <c r="M87" s="8" t="s">
        <v>918</v>
      </c>
      <c r="N87" s="8" t="s">
        <v>487</v>
      </c>
      <c r="O87" s="13" t="s">
        <v>919</v>
      </c>
      <c r="P87" s="8" t="s">
        <v>489</v>
      </c>
      <c r="Q87" s="8"/>
      <c r="R87" s="8" t="s">
        <v>946</v>
      </c>
      <c r="S87" s="13" t="s">
        <v>947</v>
      </c>
      <c r="T87" s="14" t="s">
        <v>948</v>
      </c>
      <c r="U87" s="8"/>
      <c r="V87" s="17"/>
      <c r="W87" s="17"/>
      <c r="X87" s="7">
        <f t="shared" ca="1" si="5"/>
        <v>3</v>
      </c>
      <c r="Y87" s="43" t="s">
        <v>494</v>
      </c>
      <c r="AB87" s="7" t="s">
        <v>949</v>
      </c>
      <c r="AC87" s="7" t="s">
        <v>950</v>
      </c>
    </row>
    <row r="88" spans="1:29">
      <c r="A88" s="3"/>
      <c r="B88" s="4">
        <v>82</v>
      </c>
      <c r="C88" s="8" t="s">
        <v>951</v>
      </c>
      <c r="D88" s="8" t="s">
        <v>263</v>
      </c>
      <c r="E88" s="4" t="s">
        <v>32</v>
      </c>
      <c r="F88" s="10">
        <v>24344</v>
      </c>
      <c r="G88" s="11" t="str">
        <f t="shared" si="3"/>
        <v>昭和41年08月25日</v>
      </c>
      <c r="H88" s="12">
        <f t="shared" ca="1" si="4"/>
        <v>58</v>
      </c>
      <c r="I88" s="8">
        <v>352606</v>
      </c>
      <c r="J88" s="10">
        <v>34087</v>
      </c>
      <c r="K88" s="10">
        <v>34171</v>
      </c>
      <c r="L88" s="39"/>
      <c r="M88" s="8" t="s">
        <v>952</v>
      </c>
      <c r="N88" s="8" t="s">
        <v>619</v>
      </c>
      <c r="O88" s="13" t="s">
        <v>264</v>
      </c>
      <c r="P88" s="8" t="s">
        <v>265</v>
      </c>
      <c r="Q88" s="8"/>
      <c r="R88" s="8" t="s">
        <v>619</v>
      </c>
      <c r="S88" s="13" t="s">
        <v>953</v>
      </c>
      <c r="T88" s="14" t="s">
        <v>266</v>
      </c>
      <c r="U88" s="8"/>
      <c r="V88" s="15"/>
      <c r="W88" s="15"/>
      <c r="X88" s="7">
        <f t="shared" ca="1" si="5"/>
        <v>31</v>
      </c>
      <c r="Y88" s="15" t="s">
        <v>443</v>
      </c>
      <c r="AB88" s="7" t="s">
        <v>954</v>
      </c>
      <c r="AC88" s="7" t="s">
        <v>955</v>
      </c>
    </row>
    <row r="89" spans="1:29">
      <c r="A89" s="3" t="s">
        <v>956</v>
      </c>
      <c r="B89" s="4">
        <v>83</v>
      </c>
      <c r="C89" s="8" t="s">
        <v>957</v>
      </c>
      <c r="D89" s="8" t="s">
        <v>958</v>
      </c>
      <c r="E89" s="16" t="s">
        <v>18</v>
      </c>
      <c r="F89" s="10">
        <v>31637</v>
      </c>
      <c r="G89" s="11" t="str">
        <f t="shared" si="3"/>
        <v>昭和61年08月13日</v>
      </c>
      <c r="H89" s="12">
        <f t="shared" ca="1" si="4"/>
        <v>38</v>
      </c>
      <c r="I89" s="8">
        <v>497142</v>
      </c>
      <c r="J89" s="10">
        <v>40644</v>
      </c>
      <c r="K89" s="10">
        <v>41381</v>
      </c>
      <c r="L89" s="39"/>
      <c r="M89" s="8" t="s">
        <v>911</v>
      </c>
      <c r="N89" s="8" t="s">
        <v>508</v>
      </c>
      <c r="O89" s="13" t="s">
        <v>605</v>
      </c>
      <c r="P89" s="8" t="s">
        <v>507</v>
      </c>
      <c r="Q89" s="8"/>
      <c r="R89" s="8" t="s">
        <v>959</v>
      </c>
      <c r="S89" s="13" t="s">
        <v>960</v>
      </c>
      <c r="T89" s="14" t="s">
        <v>961</v>
      </c>
      <c r="U89" s="8"/>
      <c r="V89" s="17"/>
      <c r="W89" s="17"/>
      <c r="X89" s="7">
        <f t="shared" ca="1" si="5"/>
        <v>13</v>
      </c>
      <c r="Y89" s="43" t="s">
        <v>511</v>
      </c>
      <c r="AB89" s="7" t="s">
        <v>962</v>
      </c>
      <c r="AC89" s="7" t="s">
        <v>963</v>
      </c>
    </row>
    <row r="90" spans="1:29" ht="36">
      <c r="A90" s="3"/>
      <c r="B90" s="4">
        <v>84</v>
      </c>
      <c r="C90" s="8" t="s">
        <v>964</v>
      </c>
      <c r="D90" s="8" t="s">
        <v>267</v>
      </c>
      <c r="E90" s="4" t="s">
        <v>32</v>
      </c>
      <c r="F90" s="10">
        <v>24856</v>
      </c>
      <c r="G90" s="11" t="str">
        <f t="shared" si="3"/>
        <v>昭和43年01月19日</v>
      </c>
      <c r="H90" s="12">
        <f t="shared" ca="1" si="4"/>
        <v>56</v>
      </c>
      <c r="I90" s="8">
        <v>359854</v>
      </c>
      <c r="J90" s="10">
        <v>34110</v>
      </c>
      <c r="K90" s="10">
        <v>34164</v>
      </c>
      <c r="L90" s="39"/>
      <c r="M90" s="8" t="s">
        <v>268</v>
      </c>
      <c r="N90" s="8" t="s">
        <v>269</v>
      </c>
      <c r="O90" s="13" t="s">
        <v>270</v>
      </c>
      <c r="P90" s="8" t="s">
        <v>271</v>
      </c>
      <c r="Q90" s="8"/>
      <c r="R90" s="8" t="s">
        <v>76</v>
      </c>
      <c r="S90" s="13" t="s">
        <v>965</v>
      </c>
      <c r="T90" s="14" t="s">
        <v>272</v>
      </c>
      <c r="U90" s="8"/>
      <c r="V90" s="15"/>
      <c r="W90" s="15"/>
      <c r="X90" s="7">
        <f t="shared" ca="1" si="5"/>
        <v>31</v>
      </c>
      <c r="Y90" s="15" t="s">
        <v>436</v>
      </c>
      <c r="AB90" s="7" t="s">
        <v>966</v>
      </c>
      <c r="AC90" s="7" t="s">
        <v>967</v>
      </c>
    </row>
    <row r="91" spans="1:29">
      <c r="A91" s="3"/>
      <c r="B91" s="4">
        <v>85</v>
      </c>
      <c r="C91" s="8" t="s">
        <v>968</v>
      </c>
      <c r="D91" s="8" t="s">
        <v>273</v>
      </c>
      <c r="E91" s="4" t="s">
        <v>32</v>
      </c>
      <c r="F91" s="10">
        <v>20431</v>
      </c>
      <c r="G91" s="11" t="str">
        <f t="shared" si="3"/>
        <v>昭和30年12月08日</v>
      </c>
      <c r="H91" s="12">
        <f t="shared" ca="1" si="4"/>
        <v>68</v>
      </c>
      <c r="I91" s="8">
        <v>253521</v>
      </c>
      <c r="J91" s="10">
        <v>29379</v>
      </c>
      <c r="K91" s="10"/>
      <c r="L91" s="39"/>
      <c r="M91" s="8" t="s">
        <v>274</v>
      </c>
      <c r="N91" s="8" t="s">
        <v>275</v>
      </c>
      <c r="O91" s="13" t="s">
        <v>276</v>
      </c>
      <c r="P91" s="8" t="s">
        <v>277</v>
      </c>
      <c r="Q91" s="8"/>
      <c r="R91" s="8" t="s">
        <v>275</v>
      </c>
      <c r="S91" s="13" t="s">
        <v>278</v>
      </c>
      <c r="T91" s="14" t="s">
        <v>279</v>
      </c>
      <c r="U91" s="8"/>
      <c r="V91" s="15"/>
      <c r="W91" s="15" t="s">
        <v>969</v>
      </c>
      <c r="X91" s="7">
        <f t="shared" ca="1" si="5"/>
        <v>44</v>
      </c>
      <c r="Y91" s="15" t="s">
        <v>443</v>
      </c>
      <c r="AB91" s="7" t="s">
        <v>970</v>
      </c>
      <c r="AC91" s="7" t="s">
        <v>971</v>
      </c>
    </row>
    <row r="92" spans="1:29">
      <c r="A92" s="3"/>
      <c r="B92" s="4">
        <v>86</v>
      </c>
      <c r="C92" s="8" t="s">
        <v>972</v>
      </c>
      <c r="D92" s="8" t="s">
        <v>280</v>
      </c>
      <c r="E92" s="4" t="s">
        <v>32</v>
      </c>
      <c r="F92" s="10">
        <v>22394</v>
      </c>
      <c r="G92" s="11" t="str">
        <f t="shared" si="3"/>
        <v>昭和36年04月23日</v>
      </c>
      <c r="H92" s="12">
        <f t="shared" ca="1" si="4"/>
        <v>63</v>
      </c>
      <c r="I92" s="8">
        <v>306106</v>
      </c>
      <c r="J92" s="10">
        <v>31922</v>
      </c>
      <c r="K92" s="10">
        <v>32185</v>
      </c>
      <c r="L92" s="39"/>
      <c r="M92" s="8" t="s">
        <v>281</v>
      </c>
      <c r="N92" s="8" t="s">
        <v>282</v>
      </c>
      <c r="O92" s="13" t="s">
        <v>283</v>
      </c>
      <c r="P92" s="8" t="s">
        <v>284</v>
      </c>
      <c r="Q92" s="8"/>
      <c r="R92" s="8" t="s">
        <v>285</v>
      </c>
      <c r="S92" s="13" t="s">
        <v>286</v>
      </c>
      <c r="T92" s="14" t="s">
        <v>287</v>
      </c>
      <c r="U92" s="8"/>
      <c r="V92" s="15"/>
      <c r="W92" s="15" t="s">
        <v>435</v>
      </c>
      <c r="X92" s="7">
        <f t="shared" ca="1" si="5"/>
        <v>37</v>
      </c>
      <c r="Y92" s="15" t="s">
        <v>443</v>
      </c>
      <c r="AB92" s="7" t="s">
        <v>973</v>
      </c>
      <c r="AC92" s="7" t="s">
        <v>974</v>
      </c>
    </row>
    <row r="93" spans="1:29">
      <c r="A93" s="3"/>
      <c r="B93" s="4">
        <v>87</v>
      </c>
      <c r="C93" s="8" t="s">
        <v>975</v>
      </c>
      <c r="D93" s="8" t="s">
        <v>288</v>
      </c>
      <c r="E93" s="9" t="s">
        <v>18</v>
      </c>
      <c r="F93" s="10">
        <v>22524</v>
      </c>
      <c r="G93" s="11" t="str">
        <f t="shared" si="3"/>
        <v>昭和36年08月31日</v>
      </c>
      <c r="H93" s="12">
        <f t="shared" ca="1" si="4"/>
        <v>63</v>
      </c>
      <c r="I93" s="8">
        <v>305093</v>
      </c>
      <c r="J93" s="10">
        <v>31919</v>
      </c>
      <c r="K93" s="10">
        <v>32185</v>
      </c>
      <c r="L93" s="39"/>
      <c r="M93" s="8" t="s">
        <v>976</v>
      </c>
      <c r="N93" s="8" t="s">
        <v>289</v>
      </c>
      <c r="O93" s="13" t="s">
        <v>290</v>
      </c>
      <c r="P93" s="8" t="s">
        <v>291</v>
      </c>
      <c r="Q93" s="8"/>
      <c r="R93" s="8" t="s">
        <v>289</v>
      </c>
      <c r="S93" s="13" t="s">
        <v>290</v>
      </c>
      <c r="T93" s="14" t="s">
        <v>292</v>
      </c>
      <c r="U93" s="8"/>
      <c r="V93" s="15"/>
      <c r="W93" s="15"/>
      <c r="X93" s="7">
        <f t="shared" ca="1" si="5"/>
        <v>37</v>
      </c>
      <c r="Y93" s="15" t="s">
        <v>443</v>
      </c>
      <c r="AB93" s="7" t="s">
        <v>977</v>
      </c>
      <c r="AC93" s="7" t="s">
        <v>978</v>
      </c>
    </row>
    <row r="94" spans="1:29">
      <c r="A94" s="3"/>
      <c r="B94" s="4">
        <v>88</v>
      </c>
      <c r="C94" s="8" t="s">
        <v>979</v>
      </c>
      <c r="D94" s="8" t="s">
        <v>293</v>
      </c>
      <c r="E94" s="4" t="s">
        <v>32</v>
      </c>
      <c r="F94" s="10">
        <v>17607</v>
      </c>
      <c r="G94" s="11" t="str">
        <f t="shared" si="3"/>
        <v>昭和23年03月15日</v>
      </c>
      <c r="H94" s="12">
        <f t="shared" ca="1" si="4"/>
        <v>76</v>
      </c>
      <c r="I94" s="8">
        <v>255858</v>
      </c>
      <c r="J94" s="10">
        <v>29393</v>
      </c>
      <c r="K94" s="10">
        <v>30499</v>
      </c>
      <c r="L94" s="39"/>
      <c r="M94" s="8" t="s">
        <v>294</v>
      </c>
      <c r="N94" s="8" t="s">
        <v>740</v>
      </c>
      <c r="O94" s="13" t="s">
        <v>295</v>
      </c>
      <c r="P94" s="8" t="s">
        <v>296</v>
      </c>
      <c r="Q94" s="8"/>
      <c r="R94" s="8" t="s">
        <v>297</v>
      </c>
      <c r="S94" s="13" t="s">
        <v>295</v>
      </c>
      <c r="T94" s="14" t="s">
        <v>298</v>
      </c>
      <c r="U94" s="8"/>
      <c r="V94" s="17"/>
      <c r="W94" s="17"/>
      <c r="X94" s="7">
        <f t="shared" ca="1" si="5"/>
        <v>44</v>
      </c>
      <c r="Y94" s="17" t="s">
        <v>443</v>
      </c>
      <c r="AB94" s="7" t="s">
        <v>980</v>
      </c>
      <c r="AC94" s="7" t="s">
        <v>981</v>
      </c>
    </row>
    <row r="95" spans="1:29" ht="36">
      <c r="A95" s="3"/>
      <c r="B95" s="4">
        <v>89</v>
      </c>
      <c r="C95" s="8" t="s">
        <v>982</v>
      </c>
      <c r="D95" s="8" t="s">
        <v>299</v>
      </c>
      <c r="E95" s="4" t="s">
        <v>32</v>
      </c>
      <c r="F95" s="10">
        <v>20515</v>
      </c>
      <c r="G95" s="11" t="str">
        <f t="shared" si="3"/>
        <v>昭和31年03月01日</v>
      </c>
      <c r="H95" s="12">
        <f t="shared" ca="1" si="4"/>
        <v>68</v>
      </c>
      <c r="I95" s="8">
        <v>270730</v>
      </c>
      <c r="J95" s="10">
        <v>30277</v>
      </c>
      <c r="K95" s="10"/>
      <c r="L95" s="39"/>
      <c r="M95" s="8" t="s">
        <v>294</v>
      </c>
      <c r="N95" s="8" t="s">
        <v>289</v>
      </c>
      <c r="O95" s="13" t="s">
        <v>300</v>
      </c>
      <c r="P95" s="8" t="s">
        <v>301</v>
      </c>
      <c r="Q95" s="8"/>
      <c r="R95" s="8" t="s">
        <v>302</v>
      </c>
      <c r="S95" s="13" t="s">
        <v>303</v>
      </c>
      <c r="T95" s="14" t="s">
        <v>304</v>
      </c>
      <c r="U95" s="8"/>
      <c r="V95" s="17"/>
      <c r="W95" s="17"/>
      <c r="X95" s="7">
        <f t="shared" ca="1" si="5"/>
        <v>42</v>
      </c>
      <c r="Y95" s="17" t="s">
        <v>443</v>
      </c>
      <c r="AB95" s="7" t="s">
        <v>983</v>
      </c>
      <c r="AC95" s="7">
        <v>19821122</v>
      </c>
    </row>
    <row r="96" spans="1:29">
      <c r="A96" s="3"/>
      <c r="B96" s="4">
        <v>90</v>
      </c>
      <c r="C96" s="8" t="s">
        <v>984</v>
      </c>
      <c r="D96" s="8" t="s">
        <v>305</v>
      </c>
      <c r="E96" s="9" t="s">
        <v>18</v>
      </c>
      <c r="F96" s="10">
        <v>27267</v>
      </c>
      <c r="G96" s="11" t="str">
        <f t="shared" si="3"/>
        <v>昭和49年08月26日</v>
      </c>
      <c r="H96" s="12">
        <f t="shared" ca="1" si="4"/>
        <v>50</v>
      </c>
      <c r="I96" s="8">
        <v>404050</v>
      </c>
      <c r="J96" s="10">
        <v>36290</v>
      </c>
      <c r="K96" s="10">
        <v>36306</v>
      </c>
      <c r="L96" s="39"/>
      <c r="M96" s="8" t="s">
        <v>306</v>
      </c>
      <c r="N96" s="8" t="s">
        <v>307</v>
      </c>
      <c r="O96" s="13" t="s">
        <v>985</v>
      </c>
      <c r="P96" s="8" t="s">
        <v>308</v>
      </c>
      <c r="Q96" s="8"/>
      <c r="R96" s="8" t="s">
        <v>309</v>
      </c>
      <c r="S96" s="13" t="s">
        <v>310</v>
      </c>
      <c r="T96" s="14" t="s">
        <v>311</v>
      </c>
      <c r="U96" s="8"/>
      <c r="V96" s="17"/>
      <c r="W96" s="17"/>
      <c r="X96" s="7">
        <f t="shared" ca="1" si="5"/>
        <v>25</v>
      </c>
      <c r="Y96" s="17" t="s">
        <v>436</v>
      </c>
      <c r="AB96" s="7" t="s">
        <v>986</v>
      </c>
      <c r="AC96" s="7" t="s">
        <v>987</v>
      </c>
    </row>
    <row r="97" spans="1:29">
      <c r="A97" s="3"/>
      <c r="B97" s="4">
        <v>91</v>
      </c>
      <c r="C97" s="8" t="s">
        <v>988</v>
      </c>
      <c r="D97" s="8" t="s">
        <v>312</v>
      </c>
      <c r="E97" s="4" t="s">
        <v>32</v>
      </c>
      <c r="F97" s="10">
        <v>23675</v>
      </c>
      <c r="G97" s="11" t="str">
        <f t="shared" si="3"/>
        <v>昭和39年10月25日</v>
      </c>
      <c r="H97" s="12">
        <f t="shared" ca="1" si="4"/>
        <v>59</v>
      </c>
      <c r="I97" s="8">
        <v>329751</v>
      </c>
      <c r="J97" s="10">
        <v>33016</v>
      </c>
      <c r="K97" s="10">
        <v>33035</v>
      </c>
      <c r="L97" s="39"/>
      <c r="M97" s="8" t="s">
        <v>306</v>
      </c>
      <c r="N97" s="8" t="s">
        <v>307</v>
      </c>
      <c r="O97" s="13" t="s">
        <v>313</v>
      </c>
      <c r="P97" s="8" t="s">
        <v>308</v>
      </c>
      <c r="Q97" s="8" t="s">
        <v>989</v>
      </c>
      <c r="R97" s="8" t="s">
        <v>309</v>
      </c>
      <c r="S97" s="13" t="s">
        <v>310</v>
      </c>
      <c r="T97" s="14" t="s">
        <v>311</v>
      </c>
      <c r="U97" s="8"/>
      <c r="V97" s="41" t="s">
        <v>990</v>
      </c>
      <c r="W97" s="15" t="s">
        <v>527</v>
      </c>
      <c r="X97" s="7">
        <f t="shared" ca="1" si="5"/>
        <v>34</v>
      </c>
      <c r="Y97" s="15" t="s">
        <v>443</v>
      </c>
      <c r="AB97" s="7" t="s">
        <v>991</v>
      </c>
      <c r="AC97" s="7" t="s">
        <v>992</v>
      </c>
    </row>
    <row r="98" spans="1:29">
      <c r="A98" s="3"/>
      <c r="B98" s="4">
        <v>92</v>
      </c>
      <c r="C98" s="8" t="s">
        <v>993</v>
      </c>
      <c r="D98" s="8" t="s">
        <v>314</v>
      </c>
      <c r="E98" s="4" t="s">
        <v>32</v>
      </c>
      <c r="F98" s="10">
        <v>27066</v>
      </c>
      <c r="G98" s="11" t="str">
        <f t="shared" si="3"/>
        <v>昭和49年02月06日</v>
      </c>
      <c r="H98" s="12">
        <f t="shared" ca="1" si="4"/>
        <v>50</v>
      </c>
      <c r="I98" s="8">
        <v>403891</v>
      </c>
      <c r="J98" s="10">
        <v>36290</v>
      </c>
      <c r="K98" s="10">
        <v>36306</v>
      </c>
      <c r="L98" s="39"/>
      <c r="M98" s="8" t="s">
        <v>994</v>
      </c>
      <c r="N98" s="8" t="s">
        <v>995</v>
      </c>
      <c r="O98" s="13" t="s">
        <v>996</v>
      </c>
      <c r="P98" s="8" t="s">
        <v>997</v>
      </c>
      <c r="Q98" s="8" t="s">
        <v>989</v>
      </c>
      <c r="R98" s="8" t="s">
        <v>998</v>
      </c>
      <c r="S98" s="13" t="s">
        <v>999</v>
      </c>
      <c r="T98" s="14" t="s">
        <v>315</v>
      </c>
      <c r="U98" s="8"/>
      <c r="V98" s="48" t="s">
        <v>372</v>
      </c>
      <c r="W98" s="17" t="s">
        <v>435</v>
      </c>
      <c r="X98" s="7">
        <f t="shared" ca="1" si="5"/>
        <v>25</v>
      </c>
      <c r="Y98" s="17" t="s">
        <v>443</v>
      </c>
      <c r="AB98" s="7" t="s">
        <v>1000</v>
      </c>
      <c r="AC98" s="7" t="s">
        <v>1001</v>
      </c>
    </row>
    <row r="99" spans="1:29" ht="36">
      <c r="A99" s="3"/>
      <c r="B99" s="4">
        <v>93</v>
      </c>
      <c r="C99" s="8" t="s">
        <v>1002</v>
      </c>
      <c r="D99" s="8" t="s">
        <v>1003</v>
      </c>
      <c r="E99" s="4" t="s">
        <v>439</v>
      </c>
      <c r="F99" s="10">
        <v>34630</v>
      </c>
      <c r="G99" s="11" t="str">
        <f>DATESTRING(F99)</f>
        <v>平成06年10月23日</v>
      </c>
      <c r="H99" s="12">
        <f ca="1">DATEDIF(F99,M$1,"Y")</f>
        <v>29</v>
      </c>
      <c r="I99" s="8">
        <v>567410</v>
      </c>
      <c r="J99" s="10">
        <v>32959</v>
      </c>
      <c r="K99" s="10">
        <v>44676</v>
      </c>
      <c r="L99" s="39"/>
      <c r="M99" s="8" t="s">
        <v>1004</v>
      </c>
      <c r="N99" s="8" t="s">
        <v>487</v>
      </c>
      <c r="O99" s="13" t="s">
        <v>1005</v>
      </c>
      <c r="P99" s="8" t="s">
        <v>507</v>
      </c>
      <c r="Q99" s="8"/>
      <c r="R99" s="8" t="s">
        <v>1006</v>
      </c>
      <c r="S99" s="13" t="s">
        <v>1007</v>
      </c>
      <c r="T99" s="14" t="s">
        <v>1008</v>
      </c>
      <c r="U99" s="8"/>
      <c r="V99" s="17"/>
      <c r="W99" s="17"/>
      <c r="X99" s="7">
        <f t="shared" ca="1" si="5"/>
        <v>34</v>
      </c>
      <c r="Y99" s="43" t="s">
        <v>494</v>
      </c>
      <c r="Z99" s="7" t="s">
        <v>1009</v>
      </c>
      <c r="AB99" s="7" t="s">
        <v>1010</v>
      </c>
      <c r="AC99" s="7">
        <v>567410</v>
      </c>
    </row>
    <row r="100" spans="1:29" ht="36">
      <c r="A100" s="3"/>
      <c r="B100" s="4">
        <v>94</v>
      </c>
      <c r="C100" s="8" t="s">
        <v>1011</v>
      </c>
      <c r="D100" s="8" t="s">
        <v>316</v>
      </c>
      <c r="E100" s="9" t="s">
        <v>18</v>
      </c>
      <c r="F100" s="10">
        <v>25103</v>
      </c>
      <c r="G100" s="11" t="str">
        <f t="shared" si="3"/>
        <v>昭和43年09月22日</v>
      </c>
      <c r="H100" s="12">
        <f t="shared" ca="1" si="4"/>
        <v>55</v>
      </c>
      <c r="I100" s="8">
        <v>359180</v>
      </c>
      <c r="J100" s="10">
        <v>34108</v>
      </c>
      <c r="K100" s="10">
        <v>35629</v>
      </c>
      <c r="L100" s="39"/>
      <c r="M100" s="8" t="s">
        <v>317</v>
      </c>
      <c r="N100" s="8" t="s">
        <v>318</v>
      </c>
      <c r="O100" s="13" t="s">
        <v>319</v>
      </c>
      <c r="P100" s="8" t="s">
        <v>320</v>
      </c>
      <c r="Q100" s="8"/>
      <c r="R100" s="8" t="s">
        <v>51</v>
      </c>
      <c r="S100" s="13" t="s">
        <v>321</v>
      </c>
      <c r="T100" s="14" t="s">
        <v>322</v>
      </c>
      <c r="U100" s="8"/>
      <c r="V100" s="17"/>
      <c r="W100" s="17"/>
      <c r="X100" s="7">
        <f t="shared" ca="1" si="5"/>
        <v>31</v>
      </c>
      <c r="Y100" s="17" t="s">
        <v>436</v>
      </c>
      <c r="AB100" s="7" t="s">
        <v>1012</v>
      </c>
      <c r="AC100" s="7" t="s">
        <v>1013</v>
      </c>
    </row>
    <row r="101" spans="1:29">
      <c r="A101" s="3"/>
      <c r="B101" s="4">
        <v>95</v>
      </c>
      <c r="C101" s="8" t="s">
        <v>1014</v>
      </c>
      <c r="D101" s="8" t="s">
        <v>323</v>
      </c>
      <c r="E101" s="16" t="s">
        <v>18</v>
      </c>
      <c r="F101" s="10">
        <v>26726</v>
      </c>
      <c r="G101" s="11" t="str">
        <f t="shared" si="3"/>
        <v>昭和48年03月03日</v>
      </c>
      <c r="H101" s="12">
        <f t="shared" ca="1" si="4"/>
        <v>51</v>
      </c>
      <c r="I101" s="8">
        <v>393678</v>
      </c>
      <c r="J101" s="10">
        <v>35915</v>
      </c>
      <c r="K101" s="10">
        <v>35947</v>
      </c>
      <c r="L101" s="39"/>
      <c r="M101" s="8" t="s">
        <v>1015</v>
      </c>
      <c r="N101" s="8" t="s">
        <v>1016</v>
      </c>
      <c r="O101" s="13" t="s">
        <v>1017</v>
      </c>
      <c r="P101" s="8" t="s">
        <v>1018</v>
      </c>
      <c r="Q101" s="8" t="s">
        <v>989</v>
      </c>
      <c r="R101" s="8" t="s">
        <v>324</v>
      </c>
      <c r="S101" s="13" t="s">
        <v>325</v>
      </c>
      <c r="T101" s="14" t="s">
        <v>1019</v>
      </c>
      <c r="U101" s="8"/>
      <c r="V101" s="48" t="s">
        <v>373</v>
      </c>
      <c r="W101" s="15" t="s">
        <v>435</v>
      </c>
      <c r="X101" s="7">
        <f t="shared" ca="1" si="5"/>
        <v>26</v>
      </c>
      <c r="Y101" s="15" t="s">
        <v>443</v>
      </c>
      <c r="AB101" s="7" t="s">
        <v>1020</v>
      </c>
      <c r="AC101" s="7" t="s">
        <v>1021</v>
      </c>
    </row>
    <row r="102" spans="1:29" ht="54">
      <c r="A102" s="3"/>
      <c r="B102" s="4">
        <v>96</v>
      </c>
      <c r="C102" s="8" t="s">
        <v>1022</v>
      </c>
      <c r="D102" s="8" t="s">
        <v>1023</v>
      </c>
      <c r="E102" s="16" t="s">
        <v>439</v>
      </c>
      <c r="F102" s="10">
        <v>27990</v>
      </c>
      <c r="G102" s="11" t="str">
        <f>DATESTRING(F102)</f>
        <v>昭和51年08月18日</v>
      </c>
      <c r="H102" s="12">
        <f t="shared" ca="1" si="4"/>
        <v>48</v>
      </c>
      <c r="I102" s="8">
        <v>434411</v>
      </c>
      <c r="J102" s="10">
        <v>37749</v>
      </c>
      <c r="K102" s="10"/>
      <c r="L102" s="39" t="s">
        <v>1024</v>
      </c>
      <c r="M102" s="8" t="s">
        <v>1025</v>
      </c>
      <c r="N102" s="8" t="s">
        <v>463</v>
      </c>
      <c r="O102" s="13" t="s">
        <v>1026</v>
      </c>
      <c r="P102" s="8" t="s">
        <v>1027</v>
      </c>
      <c r="Q102" s="8"/>
      <c r="R102" s="8" t="s">
        <v>1028</v>
      </c>
      <c r="S102" s="13" t="s">
        <v>1029</v>
      </c>
      <c r="T102" s="14" t="s">
        <v>1030</v>
      </c>
      <c r="U102" s="8"/>
      <c r="V102" s="17"/>
      <c r="W102" s="17"/>
      <c r="X102" s="7">
        <f t="shared" ca="1" si="5"/>
        <v>21</v>
      </c>
      <c r="Y102" s="43" t="s">
        <v>511</v>
      </c>
      <c r="Z102" s="7" t="s">
        <v>1031</v>
      </c>
      <c r="AA102" s="21">
        <v>44734</v>
      </c>
      <c r="AB102" s="7" t="s">
        <v>1032</v>
      </c>
      <c r="AC102" s="7" t="s">
        <v>1033</v>
      </c>
    </row>
    <row r="103" spans="1:29" ht="36">
      <c r="A103" s="3" t="s">
        <v>1034</v>
      </c>
      <c r="B103" s="4">
        <f>B102+1</f>
        <v>97</v>
      </c>
      <c r="C103" s="8" t="s">
        <v>1035</v>
      </c>
      <c r="D103" s="8" t="s">
        <v>1036</v>
      </c>
      <c r="E103" s="16" t="s">
        <v>439</v>
      </c>
      <c r="F103" s="10"/>
      <c r="G103" s="11">
        <v>34873</v>
      </c>
      <c r="H103" s="12">
        <f ca="1">DATEDIF(F103,M$1,"Y")</f>
        <v>124</v>
      </c>
      <c r="I103" s="8">
        <v>577183</v>
      </c>
      <c r="J103" s="10">
        <v>44280</v>
      </c>
      <c r="K103" s="10">
        <v>45408</v>
      </c>
      <c r="L103" s="39"/>
      <c r="M103" s="8" t="s">
        <v>1037</v>
      </c>
      <c r="N103" s="8" t="s">
        <v>487</v>
      </c>
      <c r="O103" s="13" t="s">
        <v>1038</v>
      </c>
      <c r="P103" s="8" t="s">
        <v>489</v>
      </c>
      <c r="Q103" s="8"/>
      <c r="R103" s="8" t="s">
        <v>508</v>
      </c>
      <c r="S103" s="13" t="s">
        <v>1039</v>
      </c>
      <c r="T103" s="14"/>
      <c r="U103" s="8" t="s">
        <v>1040</v>
      </c>
      <c r="V103" s="42" t="s">
        <v>1041</v>
      </c>
      <c r="W103" s="17"/>
      <c r="X103" s="7">
        <f t="shared" ca="1" si="5"/>
        <v>3</v>
      </c>
      <c r="Y103" s="43" t="s">
        <v>494</v>
      </c>
      <c r="AA103" s="21"/>
      <c r="AB103" s="7" t="s">
        <v>1042</v>
      </c>
      <c r="AC103" s="7" t="s">
        <v>397</v>
      </c>
    </row>
    <row r="104" spans="1:29">
      <c r="A104" s="3"/>
      <c r="B104" s="4">
        <v>97</v>
      </c>
      <c r="C104" s="8" t="s">
        <v>1043</v>
      </c>
      <c r="D104" s="8" t="s">
        <v>1044</v>
      </c>
      <c r="E104" s="4" t="s">
        <v>32</v>
      </c>
      <c r="F104" s="10">
        <v>30561</v>
      </c>
      <c r="G104" s="11" t="str">
        <f t="shared" ref="G104:G111" si="6">DATESTRING(F104)</f>
        <v>昭和58年09月02日</v>
      </c>
      <c r="H104" s="12">
        <f t="shared" ca="1" si="4"/>
        <v>41</v>
      </c>
      <c r="I104" s="8">
        <v>492096</v>
      </c>
      <c r="J104" s="10">
        <v>40626</v>
      </c>
      <c r="K104" s="10">
        <v>41381</v>
      </c>
      <c r="L104" s="39"/>
      <c r="M104" s="8" t="s">
        <v>911</v>
      </c>
      <c r="N104" s="8" t="s">
        <v>508</v>
      </c>
      <c r="O104" s="13" t="s">
        <v>605</v>
      </c>
      <c r="P104" s="8" t="s">
        <v>507</v>
      </c>
      <c r="Q104" s="8"/>
      <c r="R104" s="8" t="s">
        <v>1045</v>
      </c>
      <c r="S104" s="13" t="s">
        <v>1046</v>
      </c>
      <c r="T104" s="14" t="s">
        <v>1047</v>
      </c>
      <c r="U104" s="8"/>
      <c r="V104" s="17"/>
      <c r="W104" s="17"/>
      <c r="X104" s="7">
        <f t="shared" ca="1" si="5"/>
        <v>13</v>
      </c>
      <c r="Y104" s="43" t="s">
        <v>511</v>
      </c>
      <c r="AB104" s="7" t="s">
        <v>1048</v>
      </c>
      <c r="AC104" s="7" t="s">
        <v>1049</v>
      </c>
    </row>
    <row r="105" spans="1:29">
      <c r="A105" s="3"/>
      <c r="B105" s="4">
        <v>98</v>
      </c>
      <c r="C105" s="8" t="s">
        <v>1050</v>
      </c>
      <c r="D105" s="8" t="s">
        <v>326</v>
      </c>
      <c r="E105" s="4" t="s">
        <v>32</v>
      </c>
      <c r="F105" s="10">
        <v>18208</v>
      </c>
      <c r="G105" s="11" t="str">
        <f t="shared" si="6"/>
        <v>昭和24年11月06日</v>
      </c>
      <c r="H105" s="12">
        <f t="shared" ca="1" si="4"/>
        <v>74</v>
      </c>
      <c r="I105" s="8">
        <v>231100</v>
      </c>
      <c r="J105" s="10">
        <v>27916</v>
      </c>
      <c r="K105" s="10"/>
      <c r="L105" s="39"/>
      <c r="M105" s="8" t="s">
        <v>327</v>
      </c>
      <c r="N105" s="8" t="s">
        <v>328</v>
      </c>
      <c r="O105" s="13" t="s">
        <v>1051</v>
      </c>
      <c r="P105" s="8" t="s">
        <v>329</v>
      </c>
      <c r="Q105" s="8"/>
      <c r="R105" s="8" t="s">
        <v>328</v>
      </c>
      <c r="S105" s="13" t="s">
        <v>1052</v>
      </c>
      <c r="T105" s="14" t="s">
        <v>330</v>
      </c>
      <c r="U105" s="8"/>
      <c r="V105" s="15"/>
      <c r="W105" s="15"/>
      <c r="X105" s="7">
        <f t="shared" ca="1" si="5"/>
        <v>48</v>
      </c>
      <c r="Y105" s="15" t="s">
        <v>443</v>
      </c>
      <c r="AB105" s="7" t="s">
        <v>1053</v>
      </c>
      <c r="AC105" s="7" t="s">
        <v>1054</v>
      </c>
    </row>
    <row r="106" spans="1:29" ht="36">
      <c r="A106" s="3"/>
      <c r="B106" s="4">
        <v>99</v>
      </c>
      <c r="C106" s="8" t="s">
        <v>1055</v>
      </c>
      <c r="D106" s="8" t="s">
        <v>331</v>
      </c>
      <c r="E106" s="9" t="s">
        <v>18</v>
      </c>
      <c r="F106" s="10">
        <v>20165</v>
      </c>
      <c r="G106" s="11" t="str">
        <f t="shared" si="6"/>
        <v>昭和30年03月17日</v>
      </c>
      <c r="H106" s="12">
        <f t="shared" ca="1" si="4"/>
        <v>69</v>
      </c>
      <c r="I106" s="8">
        <v>248297</v>
      </c>
      <c r="J106" s="10">
        <v>29018</v>
      </c>
      <c r="K106" s="10">
        <v>31741</v>
      </c>
      <c r="L106" s="39"/>
      <c r="M106" s="8" t="s">
        <v>332</v>
      </c>
      <c r="N106" s="8" t="s">
        <v>94</v>
      </c>
      <c r="O106" s="13" t="s">
        <v>1056</v>
      </c>
      <c r="P106" s="8" t="s">
        <v>333</v>
      </c>
      <c r="Q106" s="8"/>
      <c r="R106" s="8" t="s">
        <v>334</v>
      </c>
      <c r="S106" s="13" t="s">
        <v>1052</v>
      </c>
      <c r="T106" s="14" t="s">
        <v>1057</v>
      </c>
      <c r="U106" s="8"/>
      <c r="V106" s="17"/>
      <c r="W106" s="17" t="s">
        <v>725</v>
      </c>
      <c r="X106" s="7">
        <f t="shared" ca="1" si="5"/>
        <v>45</v>
      </c>
      <c r="Y106" s="17" t="s">
        <v>443</v>
      </c>
      <c r="AB106" s="7" t="s">
        <v>1058</v>
      </c>
      <c r="AC106" s="7" t="s">
        <v>1059</v>
      </c>
    </row>
    <row r="107" spans="1:29">
      <c r="A107" s="3"/>
      <c r="B107" s="4">
        <v>100</v>
      </c>
      <c r="C107" s="8" t="s">
        <v>1060</v>
      </c>
      <c r="D107" s="8" t="s">
        <v>335</v>
      </c>
      <c r="E107" s="4" t="s">
        <v>32</v>
      </c>
      <c r="F107" s="10">
        <v>26565</v>
      </c>
      <c r="G107" s="11" t="str">
        <f t="shared" si="6"/>
        <v>昭和47年09月23日</v>
      </c>
      <c r="H107" s="12">
        <f t="shared" ca="1" si="4"/>
        <v>51</v>
      </c>
      <c r="I107" s="8">
        <v>393581</v>
      </c>
      <c r="J107" s="10">
        <v>35915</v>
      </c>
      <c r="K107" s="10">
        <v>35947</v>
      </c>
      <c r="L107" s="39"/>
      <c r="M107" s="8" t="s">
        <v>1061</v>
      </c>
      <c r="N107" s="8" t="s">
        <v>336</v>
      </c>
      <c r="O107" s="13" t="s">
        <v>337</v>
      </c>
      <c r="P107" s="8" t="s">
        <v>141</v>
      </c>
      <c r="Q107" s="8"/>
      <c r="R107" s="8" t="s">
        <v>1062</v>
      </c>
      <c r="S107" s="13" t="s">
        <v>1063</v>
      </c>
      <c r="T107" s="8" t="s">
        <v>338</v>
      </c>
      <c r="U107" s="8"/>
      <c r="V107" s="17"/>
      <c r="W107" s="17" t="s">
        <v>435</v>
      </c>
      <c r="X107" s="7">
        <f t="shared" ca="1" si="5"/>
        <v>26</v>
      </c>
      <c r="Y107" s="17" t="s">
        <v>443</v>
      </c>
      <c r="AB107" s="7" t="s">
        <v>1064</v>
      </c>
      <c r="AC107" s="7" t="s">
        <v>1065</v>
      </c>
    </row>
    <row r="108" spans="1:29" ht="36">
      <c r="A108" s="3"/>
      <c r="B108" s="4">
        <v>101</v>
      </c>
      <c r="C108" s="8" t="s">
        <v>1066</v>
      </c>
      <c r="D108" s="8" t="s">
        <v>1067</v>
      </c>
      <c r="E108" s="4" t="s">
        <v>447</v>
      </c>
      <c r="F108" s="10">
        <v>34712</v>
      </c>
      <c r="G108" s="11" t="str">
        <f t="shared" si="6"/>
        <v>平成07年01月13日</v>
      </c>
      <c r="H108" s="12">
        <f t="shared" ca="1" si="4"/>
        <v>29</v>
      </c>
      <c r="I108" s="8">
        <v>579434</v>
      </c>
      <c r="J108" s="10">
        <v>44284</v>
      </c>
      <c r="K108" s="10">
        <v>45017</v>
      </c>
      <c r="L108" s="39"/>
      <c r="M108" s="8" t="s">
        <v>570</v>
      </c>
      <c r="N108" s="8" t="s">
        <v>571</v>
      </c>
      <c r="O108" s="13" t="s">
        <v>1068</v>
      </c>
      <c r="P108" s="8" t="s">
        <v>573</v>
      </c>
      <c r="Q108" s="8"/>
      <c r="R108" s="8" t="s">
        <v>886</v>
      </c>
      <c r="S108" s="13" t="s">
        <v>1069</v>
      </c>
      <c r="T108" s="8" t="s">
        <v>1070</v>
      </c>
      <c r="V108" s="54" t="s">
        <v>1071</v>
      </c>
      <c r="W108" s="17"/>
      <c r="X108" s="7">
        <f t="shared" ca="1" si="5"/>
        <v>3</v>
      </c>
      <c r="Y108" s="17" t="s">
        <v>654</v>
      </c>
      <c r="AB108" s="7" t="s">
        <v>1072</v>
      </c>
      <c r="AC108" s="7" t="s">
        <v>1073</v>
      </c>
    </row>
    <row r="109" spans="1:29">
      <c r="A109" s="3"/>
      <c r="B109" s="4">
        <v>102</v>
      </c>
      <c r="C109" s="8" t="s">
        <v>1074</v>
      </c>
      <c r="D109" s="8" t="s">
        <v>339</v>
      </c>
      <c r="E109" s="16" t="s">
        <v>18</v>
      </c>
      <c r="F109" s="10">
        <v>28621</v>
      </c>
      <c r="G109" s="11" t="str">
        <f t="shared" si="6"/>
        <v>昭和53年05月11日</v>
      </c>
      <c r="H109" s="12">
        <f t="shared" ca="1" si="4"/>
        <v>46</v>
      </c>
      <c r="I109" s="8">
        <v>434337</v>
      </c>
      <c r="J109" s="10">
        <v>37749</v>
      </c>
      <c r="K109" s="10">
        <v>37762</v>
      </c>
      <c r="L109" s="39"/>
      <c r="M109" s="8"/>
      <c r="N109" s="8"/>
      <c r="O109" s="13"/>
      <c r="P109" s="8"/>
      <c r="Q109" s="8"/>
      <c r="R109" s="8" t="s">
        <v>1075</v>
      </c>
      <c r="S109" s="13" t="s">
        <v>1076</v>
      </c>
      <c r="T109" s="8" t="s">
        <v>1077</v>
      </c>
      <c r="U109" s="8"/>
      <c r="V109" s="15"/>
      <c r="W109" s="15"/>
      <c r="X109" s="7">
        <f t="shared" ca="1" si="5"/>
        <v>21</v>
      </c>
      <c r="Y109" s="15" t="s">
        <v>469</v>
      </c>
      <c r="Z109" s="15" t="s">
        <v>1078</v>
      </c>
      <c r="AB109" s="7" t="s">
        <v>1079</v>
      </c>
      <c r="AC109" s="7" t="s">
        <v>1080</v>
      </c>
    </row>
    <row r="110" spans="1:29">
      <c r="A110" s="3"/>
      <c r="B110" s="4">
        <v>103</v>
      </c>
      <c r="C110" s="8" t="s">
        <v>1081</v>
      </c>
      <c r="D110" s="8" t="s">
        <v>340</v>
      </c>
      <c r="E110" s="4" t="s">
        <v>32</v>
      </c>
      <c r="F110" s="10">
        <v>20006</v>
      </c>
      <c r="G110" s="11" t="str">
        <f t="shared" si="6"/>
        <v>昭和29年10月09日</v>
      </c>
      <c r="H110" s="12">
        <f t="shared" ca="1" si="4"/>
        <v>69</v>
      </c>
      <c r="I110" s="8">
        <v>268320</v>
      </c>
      <c r="J110" s="10">
        <v>30104</v>
      </c>
      <c r="K110" s="10"/>
      <c r="L110" s="39"/>
      <c r="M110" s="8" t="s">
        <v>341</v>
      </c>
      <c r="N110" s="8" t="s">
        <v>342</v>
      </c>
      <c r="O110" s="13" t="s">
        <v>343</v>
      </c>
      <c r="P110" s="8" t="s">
        <v>344</v>
      </c>
      <c r="Q110" s="8"/>
      <c r="R110" s="8" t="s">
        <v>345</v>
      </c>
      <c r="S110" s="13" t="s">
        <v>1082</v>
      </c>
      <c r="T110" s="8" t="s">
        <v>346</v>
      </c>
      <c r="U110" s="8"/>
      <c r="V110" s="17"/>
      <c r="W110" s="17"/>
      <c r="X110" s="7">
        <f t="shared" ca="1" si="5"/>
        <v>42</v>
      </c>
      <c r="Y110" s="17" t="s">
        <v>443</v>
      </c>
      <c r="AB110" s="7" t="s">
        <v>1083</v>
      </c>
      <c r="AC110" s="7" t="s">
        <v>1084</v>
      </c>
    </row>
    <row r="111" spans="1:29" ht="36">
      <c r="A111" s="3" t="s">
        <v>1085</v>
      </c>
      <c r="B111" s="4">
        <v>104</v>
      </c>
      <c r="C111" s="8" t="s">
        <v>1086</v>
      </c>
      <c r="D111" s="8" t="s">
        <v>1087</v>
      </c>
      <c r="E111" s="4" t="s">
        <v>32</v>
      </c>
      <c r="F111" s="10">
        <v>25050</v>
      </c>
      <c r="G111" s="11" t="str">
        <f t="shared" si="6"/>
        <v>昭和43年07月31日</v>
      </c>
      <c r="H111" s="12">
        <f t="shared" ca="1" si="4"/>
        <v>56</v>
      </c>
      <c r="I111" s="8">
        <v>370381</v>
      </c>
      <c r="J111" s="10">
        <v>34817</v>
      </c>
      <c r="K111" s="8"/>
      <c r="L111" s="39"/>
      <c r="M111" s="8" t="s">
        <v>28</v>
      </c>
      <c r="N111" s="8" t="s">
        <v>29</v>
      </c>
      <c r="O111" s="13" t="s">
        <v>456</v>
      </c>
      <c r="P111" s="8" t="s">
        <v>30</v>
      </c>
      <c r="Q111" s="8"/>
      <c r="R111" s="8" t="s">
        <v>1088</v>
      </c>
      <c r="S111" s="13" t="s">
        <v>1089</v>
      </c>
      <c r="T111" s="8"/>
      <c r="U111" s="8" t="s">
        <v>1090</v>
      </c>
      <c r="V111" s="17"/>
      <c r="W111" s="17"/>
      <c r="X111" s="7">
        <f t="shared" ca="1" si="5"/>
        <v>29</v>
      </c>
      <c r="Y111" s="17" t="s">
        <v>436</v>
      </c>
      <c r="AB111" s="7" t="s">
        <v>1091</v>
      </c>
      <c r="AC111" s="7">
        <v>19680731</v>
      </c>
    </row>
    <row r="112" spans="1:29">
      <c r="A112" s="3"/>
      <c r="B112" s="3"/>
      <c r="E112" s="3"/>
      <c r="F112" s="21"/>
      <c r="G112" s="55"/>
      <c r="H112" s="56"/>
      <c r="J112" s="21"/>
      <c r="L112" s="57"/>
      <c r="O112" s="31"/>
      <c r="S112" s="31"/>
    </row>
    <row r="113" spans="1:19">
      <c r="A113" s="3"/>
      <c r="B113" s="3"/>
      <c r="E113" s="3"/>
      <c r="F113" s="21"/>
      <c r="G113" s="55"/>
      <c r="H113" s="56"/>
      <c r="J113" s="21"/>
      <c r="L113" s="57"/>
      <c r="O113" s="31"/>
      <c r="S113" s="31"/>
    </row>
    <row r="114" spans="1:19">
      <c r="G114" s="7" t="s">
        <v>1092</v>
      </c>
      <c r="I114" s="7" t="s">
        <v>1093</v>
      </c>
      <c r="J114" s="7">
        <f>COUNTIF($E4:$E111,"M")</f>
        <v>62</v>
      </c>
    </row>
    <row r="115" spans="1:19">
      <c r="I115" s="7" t="s">
        <v>1094</v>
      </c>
      <c r="J115" s="7">
        <f>COUNTIF($E4:$E111,"W")</f>
        <v>46</v>
      </c>
    </row>
    <row r="117" spans="1:19">
      <c r="G117" s="7" t="s">
        <v>1095</v>
      </c>
      <c r="H117" s="7" t="s">
        <v>1096</v>
      </c>
      <c r="I117" s="7" t="s">
        <v>1093</v>
      </c>
      <c r="J117" s="7">
        <f ca="1">COUNTIFS($E$4:$E$111,"M",$H$4:$H$111,"&lt;=39")</f>
        <v>9</v>
      </c>
    </row>
    <row r="118" spans="1:19">
      <c r="H118" s="7" t="s">
        <v>1096</v>
      </c>
      <c r="I118" s="7" t="s">
        <v>1094</v>
      </c>
      <c r="J118" s="7">
        <f ca="1">COUNTIFS($E$4:$E$111,"W",$H$4:$H$111,"&lt;=39")</f>
        <v>6</v>
      </c>
    </row>
    <row r="119" spans="1:19">
      <c r="H119" s="7" t="s">
        <v>1097</v>
      </c>
      <c r="I119" s="7" t="s">
        <v>1093</v>
      </c>
      <c r="J119" s="7">
        <f ca="1">COUNTIFS($E$4:$E$111,"M",$H$4:$H$111,"&gt;=40",$H$4:$H$111,"&lt;50")</f>
        <v>4</v>
      </c>
    </row>
    <row r="120" spans="1:19">
      <c r="H120" s="7" t="s">
        <v>1097</v>
      </c>
      <c r="I120" s="7" t="s">
        <v>1094</v>
      </c>
      <c r="J120" s="7">
        <f ca="1">COUNTIFS($E$4:$E$111,"W",$H$4:$H$111,"&gt;=40",$H$4:$H$111,"&lt;50")</f>
        <v>10</v>
      </c>
    </row>
    <row r="121" spans="1:19">
      <c r="H121" s="7" t="s">
        <v>1098</v>
      </c>
      <c r="I121" s="7" t="s">
        <v>1093</v>
      </c>
      <c r="J121" s="7">
        <f ca="1">COUNTIFS($E$4:$E$111,"M",$H$4:$H$111,"&gt;=50",$H$4:$H$111,"&lt;60")</f>
        <v>18</v>
      </c>
    </row>
    <row r="122" spans="1:19">
      <c r="H122" s="7" t="s">
        <v>1098</v>
      </c>
      <c r="I122" s="7" t="s">
        <v>1094</v>
      </c>
      <c r="J122" s="7">
        <f ca="1">COUNTIFS($E$4:$E$111,"W",$H$4:$H$111,"&gt;=50",$H$4:$H$111,"&lt;60")</f>
        <v>13</v>
      </c>
    </row>
    <row r="123" spans="1:19">
      <c r="H123" s="7" t="s">
        <v>1099</v>
      </c>
      <c r="I123" s="7" t="s">
        <v>1093</v>
      </c>
      <c r="J123" s="7">
        <f ca="1">COUNTIFS($E$4:$E$111,"M",$H$4:$H$111,"&gt;=60",$H$4:$H$111,"&lt;70")</f>
        <v>15</v>
      </c>
    </row>
    <row r="124" spans="1:19">
      <c r="H124" s="7" t="s">
        <v>1099</v>
      </c>
      <c r="I124" s="7" t="s">
        <v>1094</v>
      </c>
      <c r="J124" s="7">
        <f ca="1">COUNTIFS($E$4:$E$111,"W",$H$4:$H$111,"&gt;=60",$H$4:$H$111,"&lt;70")</f>
        <v>12</v>
      </c>
    </row>
    <row r="125" spans="1:19">
      <c r="H125" s="7" t="s">
        <v>1100</v>
      </c>
      <c r="I125" s="7" t="s">
        <v>1093</v>
      </c>
      <c r="J125" s="7">
        <f ca="1">COUNTIFS($E$4:$E$111,"M",$H$4:$H$111,"&gt;=70")</f>
        <v>16</v>
      </c>
    </row>
    <row r="126" spans="1:19">
      <c r="H126" s="7" t="s">
        <v>1100</v>
      </c>
      <c r="I126" s="7" t="s">
        <v>1094</v>
      </c>
      <c r="J126" s="7">
        <f ca="1">COUNTIFS($E$4:$E$111,"W",$H$4:$H$111,"&gt;=70")</f>
        <v>5</v>
      </c>
    </row>
    <row r="128" spans="1:19">
      <c r="G128" s="7" t="s">
        <v>1101</v>
      </c>
      <c r="H128" s="7" t="s">
        <v>1096</v>
      </c>
      <c r="I128" s="7" t="s">
        <v>1093</v>
      </c>
      <c r="J128" s="7">
        <f ca="1">COUNTIFS($E$4:$E$111,"M",$H$4:$H$111,"&lt;=39",$W$4:$W$111,"&lt;&gt;")</f>
        <v>0</v>
      </c>
    </row>
    <row r="129" spans="7:10">
      <c r="H129" s="7" t="s">
        <v>1096</v>
      </c>
      <c r="I129" s="7" t="s">
        <v>1094</v>
      </c>
      <c r="J129" s="7">
        <f ca="1">COUNTIFS($E$4:$E$111,"W",$H$4:$H$111,"&lt;=39",$W$4:$W$111,"&lt;&gt;")</f>
        <v>0</v>
      </c>
    </row>
    <row r="130" spans="7:10">
      <c r="H130" s="7" t="s">
        <v>1097</v>
      </c>
      <c r="I130" s="7" t="s">
        <v>1093</v>
      </c>
      <c r="J130" s="7">
        <f ca="1">COUNTIFS($E$4:$E$111,"M",$H$4:$H$111,"&gt;=40",$H$4:$H$111,"&lt;50",$W$4:$W$111,"&lt;&gt;")</f>
        <v>2</v>
      </c>
    </row>
    <row r="131" spans="7:10">
      <c r="H131" s="7" t="s">
        <v>1097</v>
      </c>
      <c r="I131" s="7" t="s">
        <v>1094</v>
      </c>
      <c r="J131" s="7">
        <f ca="1">COUNTIFS($E$4:$E$111,"W",$H$4:$H$111,"&gt;=40",$H$4:$H$111,"&lt;50",$W$4:$W$111,"&lt;&gt;")</f>
        <v>0</v>
      </c>
    </row>
    <row r="132" spans="7:10">
      <c r="H132" s="7" t="s">
        <v>1098</v>
      </c>
      <c r="I132" s="7" t="s">
        <v>1093</v>
      </c>
      <c r="J132" s="7">
        <f ca="1">COUNTIFS($E$4:$E$111,"M",$H$4:$H$111,"&gt;=50",$H$4:$H$111,"&lt;60",$W$4:$W$111,"&lt;&gt;")</f>
        <v>7</v>
      </c>
    </row>
    <row r="133" spans="7:10">
      <c r="H133" s="7" t="s">
        <v>1098</v>
      </c>
      <c r="I133" s="7" t="s">
        <v>1094</v>
      </c>
      <c r="J133" s="7">
        <f ca="1">COUNTIFS($E$4:$E$111,"W",$H$4:$H$111,"&gt;=50",$H$4:$H$111,"&lt;60",$W$4:$W$111,"&lt;&gt;")</f>
        <v>3</v>
      </c>
    </row>
    <row r="134" spans="7:10">
      <c r="H134" s="7" t="s">
        <v>1099</v>
      </c>
      <c r="I134" s="7" t="s">
        <v>1093</v>
      </c>
      <c r="J134" s="7">
        <f ca="1">COUNTIFS($E$4:$E$111,"M",$H$4:$H$111,"&gt;=60",$H$4:$H$111,"&lt;70",$W$4:$W$111,"&lt;&gt;")</f>
        <v>6</v>
      </c>
    </row>
    <row r="135" spans="7:10">
      <c r="H135" s="7" t="s">
        <v>1099</v>
      </c>
      <c r="I135" s="7" t="s">
        <v>1094</v>
      </c>
      <c r="J135" s="7">
        <f ca="1">COUNTIFS($E$4:$E$111,"W",$H$4:$H$111,"&gt;=60",$H$4:$H$111,"&lt;70",$W$4:$W$111,"&lt;&gt;")</f>
        <v>3</v>
      </c>
    </row>
    <row r="136" spans="7:10">
      <c r="H136" s="7" t="s">
        <v>1100</v>
      </c>
      <c r="I136" s="7" t="s">
        <v>1093</v>
      </c>
      <c r="J136" s="7">
        <f ca="1">COUNTIFS($E$4:$E$111,"M",$H$4:$H$111,"&gt;=70",$W$4:$W$111,"&lt;&gt;")</f>
        <v>0</v>
      </c>
    </row>
    <row r="137" spans="7:10">
      <c r="H137" s="7" t="s">
        <v>1100</v>
      </c>
      <c r="I137" s="7" t="s">
        <v>1094</v>
      </c>
      <c r="J137" s="7">
        <f ca="1">COUNTIFS($E$4:$E$111,"W",$H$4:$H$111,"&gt;=70",$W$4:$W$111,"&lt;&gt;")</f>
        <v>0</v>
      </c>
    </row>
    <row r="140" spans="7:10">
      <c r="G140" s="7" t="s">
        <v>1102</v>
      </c>
      <c r="J140" s="7">
        <f>COUNTIFS($Y$4:$Y$111,"A*")</f>
        <v>45</v>
      </c>
    </row>
    <row r="141" spans="7:10">
      <c r="G141" s="7" t="s">
        <v>1103</v>
      </c>
      <c r="J141" s="7">
        <f>COUNTIFS($Y$4:$Y$111,"B*")</f>
        <v>40</v>
      </c>
    </row>
    <row r="142" spans="7:10">
      <c r="G142" s="7" t="s">
        <v>1104</v>
      </c>
      <c r="J142" s="7">
        <f>COUNTIFS($Y$4:$Y$111,"C*")</f>
        <v>14</v>
      </c>
    </row>
    <row r="143" spans="7:10">
      <c r="G143" s="7" t="s">
        <v>1105</v>
      </c>
      <c r="J143" s="7">
        <f>COUNTIFS($Y$4:$Y$111,"D*")</f>
        <v>1</v>
      </c>
    </row>
    <row r="144" spans="7:10">
      <c r="G144" s="7" t="s">
        <v>1106</v>
      </c>
      <c r="J144" s="7">
        <f>COUNTIFS($Y$4:$Y$111,"免除*")</f>
        <v>8</v>
      </c>
    </row>
  </sheetData>
  <phoneticPr fontId="4"/>
  <conditionalFormatting sqref="E4:E113">
    <cfRule type="cellIs" dxfId="9" priority="1" operator="equal">
      <formula>"W"</formula>
    </cfRule>
  </conditionalFormatting>
  <conditionalFormatting sqref="H4:H113">
    <cfRule type="cellIs" dxfId="8" priority="2" operator="greaterThan">
      <formula>80</formula>
    </cfRule>
  </conditionalFormatting>
  <hyperlinks>
    <hyperlink ref="V33" r:id="rId1" xr:uid="{01E3676F-E0AF-4AF6-A08D-666B35D12F9E}"/>
    <hyperlink ref="V65" r:id="rId2" xr:uid="{61ABBD50-6434-4BF4-9957-AC1DE9215D93}"/>
    <hyperlink ref="V108" r:id="rId3" xr:uid="{9548AD79-0885-40EF-9F55-90C021657569}"/>
    <hyperlink ref="V39" r:id="rId4" xr:uid="{066EF369-BDD4-4E9B-87C0-1920168F7EFA}"/>
    <hyperlink ref="V11" r:id="rId5" xr:uid="{B0682EAB-83A6-4888-A339-51AB9F0F529D}"/>
    <hyperlink ref="V18" r:id="rId6" xr:uid="{C2038AF3-1C56-4242-BA2C-265F67D28DD2}"/>
    <hyperlink ref="V103" r:id="rId7" xr:uid="{C3A77B63-A059-4523-B319-3F14E029865B}"/>
    <hyperlink ref="V17" r:id="rId8" xr:uid="{8DF6EBAB-BFC9-4941-9EB5-A382055CE76F}"/>
    <hyperlink ref="V24" r:id="rId9" display="mailto:chihirok@vm01.vaio.ne.jp" xr:uid="{0FDF3496-84FE-4EC2-87A5-DB1DAB30C02D}"/>
    <hyperlink ref="V62" r:id="rId10" xr:uid="{2B417F76-5990-432D-9CC5-0E74F1CEEE9D}"/>
    <hyperlink ref="V101" r:id="rId11" display="mailto:metoki-eyeclinic@kdp.biglobe.ne.jp" xr:uid="{A1512155-9DA2-4C33-9D21-007CBF2725DB}"/>
    <hyperlink ref="V61" r:id="rId12" xr:uid="{ACCBEA9A-76D7-42EF-873D-5697C0C0CE11}"/>
    <hyperlink ref="V98" r:id="rId13" display="mailto:yasumiya026@yahoo.co.jp" xr:uid="{E7913727-6FA4-40CF-BF38-34AFC72BF48F}"/>
    <hyperlink ref="V97" r:id="rId14" xr:uid="{56FD255F-EC78-469B-860A-C43FA87FBEE9}"/>
    <hyperlink ref="V4" r:id="rId15" xr:uid="{9F9AB437-0000-4C1E-B9A4-349E0BA9AB9E}"/>
    <hyperlink ref="V21" r:id="rId16" xr:uid="{6F682AEC-2D55-45D5-B240-DEFA91705863}"/>
  </hyperlinks>
  <pageMargins left="0.70866141732283472" right="0.70866141732283472" top="0.74803149606299213" bottom="0.74803149606299213" header="0.31496062992125984" footer="0.31496062992125984"/>
  <pageSetup paperSize="9" scale="90" orientation="landscape" r:id="rId17"/>
  <tableParts count="1">
    <tablePart r:id="rId18"/>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1</vt:i4>
      </vt:variant>
    </vt:vector>
  </HeadingPairs>
  <TitlesOfParts>
    <vt:vector size="6" baseType="lpstr">
      <vt:lpstr>README</vt:lpstr>
      <vt:lpstr>メイン</vt:lpstr>
      <vt:lpstr>外部ファイルのパス</vt:lpstr>
      <vt:lpstr>ExportedModules</vt:lpstr>
      <vt:lpstr>work会員名簿</vt:lpstr>
      <vt:lpstr>work会員名簿!Print_Area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uraya</dc:creator>
  <cp:lastModifiedBy>事務局 青森県眼科医会</cp:lastModifiedBy>
  <cp:lastPrinted>2024-09-02T04:18:43Z</cp:lastPrinted>
  <dcterms:created xsi:type="dcterms:W3CDTF">2022-09-26T10:05:59Z</dcterms:created>
  <dcterms:modified xsi:type="dcterms:W3CDTF">2024-09-02T07:37:25Z</dcterms:modified>
</cp:coreProperties>
</file>