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1.xml" ContentType="application/vnd.ms-excel.person+xml"/>
  <Override PartName="/xl/persons/person3.xml" ContentType="application/vnd.ms-excel.person+xml"/>
  <Override PartName="/xl/persons/person10.xml" ContentType="application/vnd.ms-excel.person+xml"/>
  <Override PartName="/xl/persons/person4.xml" ContentType="application/vnd.ms-excel.person+xml"/>
  <Override PartName="/xl/persons/person6.xml" ContentType="application/vnd.ms-excel.person+xml"/>
  <Override PartName="/xl/persons/person9.xml" ContentType="application/vnd.ms-excel.person+xml"/>
  <Override PartName="/xl/persons/person0.xml" ContentType="application/vnd.ms-excel.person+xml"/>
  <Override PartName="/xl/persons/person8.xml" ContentType="application/vnd.ms-excel.person+xml"/>
  <Override PartName="/xl/persons/person7.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uraya\github-aogan\aomori-gankaikai-jimukyoku\office\"/>
    </mc:Choice>
  </mc:AlternateContent>
  <xr:revisionPtr revIDLastSave="0" documentId="13_ncr:1_{B965BE71-B9CC-463F-8D5C-954B8E19B69F}" xr6:coauthVersionLast="47" xr6:coauthVersionMax="47" xr10:uidLastSave="{00000000-0000-0000-0000-000000000000}"/>
  <bookViews>
    <workbookView xWindow="-110" yWindow="-110" windowWidth="19420" windowHeight="10300" tabRatio="655" activeTab="7" xr2:uid="{F197B2C1-264B-45BB-AE0E-F110D25EF1F9}"/>
  </bookViews>
  <sheets>
    <sheet name="メイン" sheetId="3" r:id="rId1"/>
    <sheet name="次年度予算書" sheetId="2" r:id="rId2"/>
    <sheet name="決算書" sheetId="1" r:id="rId3"/>
    <sheet name="現金出納記録" sheetId="12" r:id="rId4"/>
    <sheet name="広告料入金状況" sheetId="13" r:id="rId5"/>
    <sheet name="預金口座の残高" sheetId="6" r:id="rId6"/>
    <sheet name="実行環境" sheetId="4" r:id="rId7"/>
    <sheet name="プロシージャ一覧" sheetId="15" r:id="rId8"/>
  </sheets>
  <definedNames>
    <definedName name="_xlnm.Print_Area" localSheetId="2">決算書!$B$1:$G$56</definedName>
    <definedName name="_xlnm.Print_Area" localSheetId="3">現金出納記録!$A$1:$J$322</definedName>
    <definedName name="_xlnm.Print_Area" localSheetId="1">次年度予算書!$B$2:$H$50</definedName>
  </definedNames>
  <calcPr calcId="191029"/>
</workbook>
</file>

<file path=xl/calcChain.xml><?xml version="1.0" encoding="utf-8"?>
<calcChain xmlns="http://schemas.openxmlformats.org/spreadsheetml/2006/main">
  <c r="E7" i="6" l="1"/>
  <c r="I18" i="13" l="1"/>
  <c r="E32" i="1"/>
  <c r="E55" i="1"/>
  <c r="E53" i="1"/>
  <c r="E40" i="1"/>
  <c r="E50" i="1"/>
  <c r="E49" i="1"/>
  <c r="E38" i="1"/>
  <c r="E39" i="1"/>
  <c r="E19" i="1"/>
  <c r="F53" i="1" l="1"/>
  <c r="E54" i="2"/>
  <c r="F50" i="2"/>
  <c r="E46" i="2"/>
  <c r="G46" i="2" s="1"/>
  <c r="E44" i="2"/>
  <c r="G44" i="2" s="1"/>
  <c r="E40" i="2"/>
  <c r="G40" i="2" s="1"/>
  <c r="E29" i="2"/>
  <c r="G29" i="2" s="1"/>
  <c r="G45" i="2"/>
  <c r="G47" i="2"/>
  <c r="G37" i="2"/>
  <c r="G38" i="2"/>
  <c r="G39" i="2"/>
  <c r="G41" i="2"/>
  <c r="G42" i="2"/>
  <c r="G43" i="2"/>
  <c r="G31" i="2"/>
  <c r="G32" i="2"/>
  <c r="G33" i="2"/>
  <c r="G34" i="2"/>
  <c r="G35" i="2"/>
  <c r="G36" i="2"/>
  <c r="G21" i="2"/>
  <c r="G22" i="2"/>
  <c r="G23" i="2"/>
  <c r="G24" i="2"/>
  <c r="G25" i="2"/>
  <c r="G27" i="2"/>
  <c r="G28" i="2"/>
  <c r="G30" i="2"/>
  <c r="E27" i="2"/>
  <c r="E55" i="2" l="1"/>
  <c r="E56" i="2" s="1"/>
  <c r="E50" i="2"/>
  <c r="G20" i="2"/>
  <c r="E20" i="2"/>
  <c r="G6" i="2"/>
  <c r="G7" i="2"/>
  <c r="G8" i="2"/>
  <c r="G9" i="2"/>
  <c r="G11" i="2"/>
  <c r="G12" i="2"/>
  <c r="G14" i="2"/>
  <c r="E13" i="2" l="1"/>
  <c r="G13" i="2" s="1"/>
  <c r="E10" i="2"/>
  <c r="G10" i="2" s="1"/>
  <c r="E5" i="2"/>
  <c r="G5" i="2" s="1"/>
  <c r="G16" i="2" l="1"/>
  <c r="E15" i="2"/>
  <c r="G15" i="2" s="1"/>
  <c r="E34" i="1"/>
  <c r="E16" i="1"/>
  <c r="E33" i="1"/>
  <c r="F7" i="6" l="1"/>
  <c r="F24" i="1" l="1"/>
  <c r="E31" i="1"/>
  <c r="E30" i="1"/>
  <c r="I322" i="12" l="1"/>
  <c r="I28" i="12"/>
  <c r="J322" i="12" l="1"/>
  <c r="J28" i="12"/>
  <c r="E35" i="1" l="1"/>
  <c r="E20" i="1"/>
  <c r="E51" i="1"/>
  <c r="E21" i="1"/>
  <c r="E41" i="1"/>
  <c r="E15" i="1"/>
  <c r="E43" i="1"/>
  <c r="E14" i="1"/>
  <c r="E44" i="1"/>
  <c r="E42" i="1"/>
  <c r="D32" i="2"/>
  <c r="D7" i="2"/>
  <c r="D22" i="2"/>
  <c r="D31" i="2"/>
  <c r="E29" i="1" l="1"/>
  <c r="E48" i="1"/>
  <c r="E37" i="1"/>
  <c r="E52" i="1"/>
  <c r="E54" i="1"/>
  <c r="D28" i="2"/>
  <c r="D38" i="2"/>
  <c r="D25" i="2"/>
  <c r="D23" i="2"/>
  <c r="D35" i="2"/>
  <c r="D34" i="2"/>
  <c r="D37" i="2"/>
  <c r="D29" i="2"/>
  <c r="D36" i="2"/>
  <c r="D21" i="2"/>
  <c r="D30" i="2"/>
  <c r="D20" i="2"/>
  <c r="D27" i="2"/>
  <c r="D39" i="2"/>
  <c r="D33" i="2"/>
  <c r="D24" i="2"/>
  <c r="E56" i="1" l="1"/>
  <c r="D47" i="2"/>
  <c r="D42" i="2"/>
  <c r="D44" i="2"/>
  <c r="D41" i="2"/>
  <c r="D45" i="2"/>
  <c r="D40" i="2"/>
  <c r="D43" i="2"/>
  <c r="D46" i="2" l="1"/>
  <c r="D18" i="1"/>
  <c r="E17" i="1"/>
  <c r="D8" i="2"/>
  <c r="E13" i="1" l="1"/>
  <c r="E22" i="1"/>
  <c r="D5" i="2"/>
  <c r="D6" i="2"/>
  <c r="D12" i="2"/>
  <c r="E18" i="1" l="1"/>
  <c r="D11" i="2"/>
  <c r="D9" i="2"/>
  <c r="E25" i="1" l="1"/>
  <c r="D10" i="2"/>
  <c r="F55" i="1"/>
  <c r="F51" i="1"/>
  <c r="F49" i="1"/>
  <c r="F50" i="1"/>
  <c r="F47" i="1"/>
  <c r="F43" i="1"/>
  <c r="F44" i="1"/>
  <c r="F45" i="1"/>
  <c r="F46" i="1"/>
  <c r="F42" i="1"/>
  <c r="F41" i="1"/>
  <c r="F40" i="1"/>
  <c r="F38" i="1"/>
  <c r="F36" i="1"/>
  <c r="D13" i="2"/>
  <c r="D14" i="2"/>
  <c r="F39" i="1" l="1"/>
  <c r="F34" i="1" l="1"/>
  <c r="F33" i="1"/>
  <c r="F32" i="1"/>
  <c r="F31" i="1"/>
  <c r="F30" i="1"/>
  <c r="F23" i="1" l="1"/>
  <c r="F21" i="1"/>
  <c r="F20" i="1"/>
  <c r="F19" i="1" l="1"/>
  <c r="F14" i="1" l="1"/>
  <c r="F17" i="1"/>
  <c r="F16" i="1"/>
  <c r="F15" i="1"/>
  <c r="D22" i="1" l="1"/>
  <c r="F18" i="1"/>
  <c r="D13" i="1"/>
  <c r="D29" i="1"/>
  <c r="D35" i="1"/>
  <c r="D37" i="1"/>
  <c r="D48" i="1"/>
  <c r="D52" i="1"/>
  <c r="D54" i="1"/>
  <c r="D25" i="1" l="1"/>
  <c r="D56" i="1"/>
  <c r="E17" i="2"/>
  <c r="G17" i="2" s="1"/>
  <c r="F13" i="1"/>
  <c r="F35" i="1"/>
  <c r="F54" i="1"/>
  <c r="F52" i="1"/>
  <c r="F37" i="1"/>
  <c r="F48" i="1"/>
  <c r="F29" i="1"/>
  <c r="F6" i="1"/>
  <c r="E5" i="1"/>
  <c r="E8" i="1" s="1"/>
  <c r="F56" i="1" l="1"/>
  <c r="F25" i="1"/>
  <c r="F7" i="1"/>
  <c r="F8" i="1" s="1"/>
  <c r="F9" i="1" l="1"/>
  <c r="D17" i="2"/>
  <c r="G50" i="2"/>
  <c r="G48" i="2"/>
</calcChain>
</file>

<file path=xl/sharedStrings.xml><?xml version="1.0" encoding="utf-8"?>
<sst xmlns="http://schemas.openxmlformats.org/spreadsheetml/2006/main" count="1592" uniqueCount="539">
  <si>
    <t>収　　入</t>
  </si>
  <si>
    <t xml:space="preserve">      項</t>
  </si>
  <si>
    <t xml:space="preserve"> １</t>
  </si>
  <si>
    <t xml:space="preserve">  会　   費</t>
  </si>
  <si>
    <t>１．Ａ　会　員</t>
  </si>
  <si>
    <t>２．Ｂ　会　員</t>
  </si>
  <si>
    <t>３．Ｃ　会　員</t>
  </si>
  <si>
    <t>４．Ｄ  会  員</t>
    <rPh sb="5" eb="9">
      <t>カイイン</t>
    </rPh>
    <phoneticPr fontId="3"/>
  </si>
  <si>
    <t xml:space="preserve"> ２</t>
  </si>
  <si>
    <t xml:space="preserve">  雑  収  入</t>
  </si>
  <si>
    <t>１．広 告 料 収 入</t>
  </si>
  <si>
    <t xml:space="preserve"> ３</t>
  </si>
  <si>
    <t xml:space="preserve">  補  助  金</t>
    <rPh sb="2" eb="9">
      <t>ホジョキン</t>
    </rPh>
    <phoneticPr fontId="5"/>
  </si>
  <si>
    <t>１．補  助  金</t>
    <rPh sb="2" eb="9">
      <t>ホジョキン</t>
    </rPh>
    <phoneticPr fontId="5"/>
  </si>
  <si>
    <t xml:space="preserve"> ４</t>
  </si>
  <si>
    <t xml:space="preserve">  繰  越  金</t>
  </si>
  <si>
    <t xml:space="preserve"> 合</t>
  </si>
  <si>
    <t xml:space="preserve">    計</t>
  </si>
  <si>
    <t xml:space="preserve"> 支　 　出</t>
  </si>
  <si>
    <t>　　　項</t>
  </si>
  <si>
    <t xml:space="preserve">  事  務  費</t>
  </si>
  <si>
    <t>１．事 務 手 当</t>
  </si>
  <si>
    <t>２．通　信　費</t>
  </si>
  <si>
    <t xml:space="preserve">  負  担  費</t>
  </si>
  <si>
    <t xml:space="preserve">  事  業  費</t>
  </si>
  <si>
    <t>１．庶務費</t>
    <rPh sb="2" eb="4">
      <t>ショム</t>
    </rPh>
    <rPh sb="4" eb="5">
      <t>ヒ</t>
    </rPh>
    <phoneticPr fontId="10"/>
  </si>
  <si>
    <t>８．医療対策費</t>
    <rPh sb="2" eb="4">
      <t>イリョウ</t>
    </rPh>
    <rPh sb="4" eb="6">
      <t>タイサク</t>
    </rPh>
    <phoneticPr fontId="10"/>
  </si>
  <si>
    <t>９．勤務医費</t>
    <rPh sb="2" eb="5">
      <t>キンムイ</t>
    </rPh>
    <phoneticPr fontId="10"/>
  </si>
  <si>
    <t>１０．会務運営費</t>
    <rPh sb="3" eb="5">
      <t>カイム</t>
    </rPh>
    <rPh sb="5" eb="8">
      <t>ウンエイヒ</t>
    </rPh>
    <phoneticPr fontId="10"/>
  </si>
  <si>
    <t xml:space="preserve">  会  議  費</t>
  </si>
  <si>
    <t>１.総 会 費</t>
  </si>
  <si>
    <t>２.役 員 会 費</t>
  </si>
  <si>
    <t>３.監 査 会 費</t>
  </si>
  <si>
    <t xml:space="preserve"> ５</t>
  </si>
  <si>
    <t xml:space="preserve">  出  張  費</t>
  </si>
  <si>
    <t>１.出張旅費補助</t>
  </si>
  <si>
    <t xml:space="preserve"> ６</t>
  </si>
  <si>
    <t xml:space="preserve">  慶  弔  費</t>
  </si>
  <si>
    <t>１.慶 弔 費</t>
  </si>
  <si>
    <t xml:space="preserve"> ７</t>
  </si>
  <si>
    <t xml:space="preserve">  予  備  費</t>
  </si>
  <si>
    <t>　　計</t>
  </si>
  <si>
    <t>単位（円）△印は減額</t>
  </si>
  <si>
    <t>１.Ａ 会 員</t>
  </si>
  <si>
    <t>２.Ｂ 会 員</t>
  </si>
  <si>
    <t>３.Ｃ 会 員</t>
  </si>
  <si>
    <t>４.Ｄ 会 員</t>
    <phoneticPr fontId="1"/>
  </si>
  <si>
    <t>１.広 告 料 収 入</t>
  </si>
  <si>
    <t>２.雑 収 入</t>
  </si>
  <si>
    <t xml:space="preserve">  補  助  金</t>
    <rPh sb="2" eb="9">
      <t>ホジョキン</t>
    </rPh>
    <phoneticPr fontId="1"/>
  </si>
  <si>
    <t>１．補 助 金</t>
    <rPh sb="2" eb="7">
      <t>ホジョキン</t>
    </rPh>
    <phoneticPr fontId="1"/>
  </si>
  <si>
    <t>１.繰 越 金</t>
  </si>
  <si>
    <t>１.事 務 手 当</t>
  </si>
  <si>
    <t>２.通 信 費</t>
  </si>
  <si>
    <t>１.東北ﾌﾞﾛｯｸ負担金</t>
  </si>
  <si>
    <t>２．学 術 費</t>
    <phoneticPr fontId="10"/>
  </si>
  <si>
    <t>３．社 会 保 険 費</t>
    <phoneticPr fontId="10"/>
  </si>
  <si>
    <t>４．学 校 保 健 費</t>
    <phoneticPr fontId="10"/>
  </si>
  <si>
    <t>委員会</t>
    <rPh sb="0" eb="3">
      <t>イインカイ</t>
    </rPh>
    <phoneticPr fontId="10"/>
  </si>
  <si>
    <t>５．公 衆 衛 生 費</t>
    <phoneticPr fontId="10"/>
  </si>
  <si>
    <t>研修費、視能訓練士の会協力費</t>
    <rPh sb="0" eb="3">
      <t>ケンシュウヒ</t>
    </rPh>
    <rPh sb="4" eb="5">
      <t>シ</t>
    </rPh>
    <rPh sb="5" eb="6">
      <t>ノウ</t>
    </rPh>
    <rPh sb="6" eb="8">
      <t>クンレン</t>
    </rPh>
    <rPh sb="8" eb="9">
      <t>シ</t>
    </rPh>
    <rPh sb="10" eb="11">
      <t>カイ</t>
    </rPh>
    <rPh sb="11" eb="14">
      <t>キョウリョクヒ</t>
    </rPh>
    <phoneticPr fontId="6"/>
  </si>
  <si>
    <t>７．広　報　費</t>
    <phoneticPr fontId="10"/>
  </si>
  <si>
    <t>　</t>
    <phoneticPr fontId="6"/>
  </si>
  <si>
    <t>２．学 術 費</t>
    <phoneticPr fontId="10"/>
  </si>
  <si>
    <t>３．社 会 保 険 費</t>
    <phoneticPr fontId="10"/>
  </si>
  <si>
    <t>５．公 衆 衛 生 費</t>
    <phoneticPr fontId="10"/>
  </si>
  <si>
    <t>７．広　報　費</t>
    <phoneticPr fontId="10"/>
  </si>
  <si>
    <t>会報発行、ホームページ</t>
    <phoneticPr fontId="10"/>
  </si>
  <si>
    <t>祝電、弔電、香典、生花等</t>
    <phoneticPr fontId="2"/>
  </si>
  <si>
    <t>６．眼科ｺ･ﾒﾃﾞｨｶﾙ関係費</t>
    <rPh sb="2" eb="4">
      <t>ガンカ</t>
    </rPh>
    <rPh sb="12" eb="14">
      <t>カンケイ</t>
    </rPh>
    <phoneticPr fontId="10"/>
  </si>
  <si>
    <t>備　　　　　　考</t>
    <phoneticPr fontId="2"/>
  </si>
  <si>
    <t>備　　　　　　考</t>
    <phoneticPr fontId="2"/>
  </si>
  <si>
    <t>委員会、男女共同参画事業</t>
    <phoneticPr fontId="10"/>
  </si>
  <si>
    <t>コピー代他</t>
    <phoneticPr fontId="2"/>
  </si>
  <si>
    <t>郵便料、切手代、振込手数料</t>
    <rPh sb="4" eb="7">
      <t>キッテダイ</t>
    </rPh>
    <rPh sb="8" eb="10">
      <t>フリコミ</t>
    </rPh>
    <rPh sb="10" eb="13">
      <t>テスウリョウ</t>
    </rPh>
    <phoneticPr fontId="2"/>
  </si>
  <si>
    <t>社保研究会、審査委員連絡会</t>
    <rPh sb="8" eb="10">
      <t>イイン</t>
    </rPh>
    <phoneticPr fontId="10"/>
  </si>
  <si>
    <t>日眼医、東北眼科医会連合会</t>
    <rPh sb="0" eb="3">
      <t>ニチガンイ</t>
    </rPh>
    <rPh sb="4" eb="6">
      <t>トウホク</t>
    </rPh>
    <rPh sb="6" eb="10">
      <t>ガンカイカイ</t>
    </rPh>
    <rPh sb="10" eb="13">
      <t>レンゴウカイ</t>
    </rPh>
    <phoneticPr fontId="2"/>
  </si>
  <si>
    <t>３回</t>
    <phoneticPr fontId="6"/>
  </si>
  <si>
    <t>集談会、東北ブロック</t>
    <rPh sb="4" eb="6">
      <t>トウホク</t>
    </rPh>
    <phoneticPr fontId="10"/>
  </si>
  <si>
    <t>社保研究会、コピー代</t>
    <rPh sb="0" eb="5">
      <t>シャホケンキュウカイ</t>
    </rPh>
    <rPh sb="9" eb="10">
      <t>ダイ</t>
    </rPh>
    <phoneticPr fontId="2"/>
  </si>
  <si>
    <t>ｱｲﾊﾞﾝｸ、災害ﾏﾆｭｱﾙ、目の愛護デー</t>
    <rPh sb="7" eb="9">
      <t>サイガイ</t>
    </rPh>
    <rPh sb="15" eb="16">
      <t>メ</t>
    </rPh>
    <rPh sb="17" eb="19">
      <t>アイゴ</t>
    </rPh>
    <phoneticPr fontId="2"/>
  </si>
  <si>
    <t>ｱｲﾊﾞﾝｸ10万、災害対策マニュアル印刷料4万、愛護デー新聞広告37万、ライトアップ2万</t>
    <rPh sb="8" eb="9">
      <t>マン</t>
    </rPh>
    <rPh sb="19" eb="21">
      <t>インサツ</t>
    </rPh>
    <rPh sb="21" eb="22">
      <t>リョウ</t>
    </rPh>
    <rPh sb="23" eb="24">
      <t>マン</t>
    </rPh>
    <rPh sb="25" eb="27">
      <t>アイゴ</t>
    </rPh>
    <rPh sb="29" eb="33">
      <t>シンブンコウコク</t>
    </rPh>
    <rPh sb="35" eb="36">
      <t>マン</t>
    </rPh>
    <rPh sb="44" eb="45">
      <t>マン</t>
    </rPh>
    <phoneticPr fontId="2"/>
  </si>
  <si>
    <t>弔電、香典、供花、新聞広告</t>
    <rPh sb="0" eb="2">
      <t>チョウデン</t>
    </rPh>
    <rPh sb="6" eb="8">
      <t>キョウカ</t>
    </rPh>
    <rPh sb="9" eb="11">
      <t>シンブン</t>
    </rPh>
    <rPh sb="11" eb="13">
      <t>コウコク</t>
    </rPh>
    <phoneticPr fontId="2"/>
  </si>
  <si>
    <t>児童生徒の近視の実態調査費</t>
    <phoneticPr fontId="2"/>
  </si>
  <si>
    <t>項目</t>
  </si>
  <si>
    <t>データ</t>
  </si>
  <si>
    <t>説明</t>
  </si>
  <si>
    <t>青森県眼科医会の現金出納帳Excelファイルのパス</t>
  </si>
  <si>
    <t>相対パス。この会計報告.xlsmファイルを基点として</t>
  </si>
  <si>
    <t>２．セミナー参加料</t>
  </si>
  <si>
    <t>３．雑収入</t>
  </si>
  <si>
    <t>勘定科目</t>
  </si>
  <si>
    <t>４．交　通　費</t>
  </si>
  <si>
    <t>５．消 耗 品 費</t>
  </si>
  <si>
    <t>３．振込手数料</t>
  </si>
  <si>
    <t>郵便料、切手代</t>
  </si>
  <si>
    <t>アイバンク協力、目の愛護デー広告</t>
    <rPh sb="5" eb="7">
      <t>キョウリョク</t>
    </rPh>
    <rPh sb="8" eb="9">
      <t>メ</t>
    </rPh>
    <rPh sb="10" eb="12">
      <t>アイゴ</t>
    </rPh>
    <rPh sb="14" eb="16">
      <t>コウコク</t>
    </rPh>
    <phoneticPr fontId="2"/>
  </si>
  <si>
    <t>期末の繰越金</t>
    <rPh sb="0" eb="2">
      <t>キマツ</t>
    </rPh>
    <rPh sb="3" eb="6">
      <t>クリコシキン</t>
    </rPh>
    <phoneticPr fontId="2"/>
  </si>
  <si>
    <t>青森県眼科医会の銀行口座の残高</t>
    <rPh sb="0" eb="7">
      <t>アオモリケンガンカイカイ</t>
    </rPh>
    <rPh sb="8" eb="12">
      <t>ギンコウコウザ</t>
    </rPh>
    <rPh sb="13" eb="15">
      <t>ザンダカ</t>
    </rPh>
    <phoneticPr fontId="2"/>
  </si>
  <si>
    <t>名義人</t>
    <rPh sb="0" eb="3">
      <t>メイギニン</t>
    </rPh>
    <phoneticPr fontId="2"/>
  </si>
  <si>
    <t>銀行</t>
    <rPh sb="0" eb="2">
      <t>ギンコウ</t>
    </rPh>
    <phoneticPr fontId="2"/>
  </si>
  <si>
    <t>口座番号</t>
    <rPh sb="0" eb="4">
      <t>コウザバンゴウ</t>
    </rPh>
    <phoneticPr fontId="2"/>
  </si>
  <si>
    <t>青森銀行</t>
    <rPh sb="0" eb="4">
      <t>アオモリギンコウ</t>
    </rPh>
    <phoneticPr fontId="2"/>
  </si>
  <si>
    <t>3012066</t>
    <phoneticPr fontId="2"/>
  </si>
  <si>
    <t>東北眼科医会連合会　青森県代表　松橋英昭</t>
    <rPh sb="0" eb="2">
      <t>トウホク</t>
    </rPh>
    <rPh sb="2" eb="6">
      <t>ガンカイカイ</t>
    </rPh>
    <rPh sb="6" eb="9">
      <t>レンゴウカイ</t>
    </rPh>
    <rPh sb="10" eb="15">
      <t>アオモリケンダイヒョウ</t>
    </rPh>
    <rPh sb="16" eb="20">
      <t>マツハシヒデアキ</t>
    </rPh>
    <phoneticPr fontId="2"/>
  </si>
  <si>
    <t>青森県眼科医会　会長　松橋英昭</t>
    <rPh sb="0" eb="7">
      <t>アオモリケンガンカイカイ</t>
    </rPh>
    <rPh sb="8" eb="10">
      <t>カイチョウ</t>
    </rPh>
    <rPh sb="11" eb="13">
      <t>マツハシ</t>
    </rPh>
    <rPh sb="13" eb="15">
      <t>ヒデアキ</t>
    </rPh>
    <phoneticPr fontId="2"/>
  </si>
  <si>
    <t>3095665</t>
    <phoneticPr fontId="2"/>
  </si>
  <si>
    <t>東北ブロック講習会のための口座</t>
    <rPh sb="0" eb="2">
      <t>トウホク</t>
    </rPh>
    <rPh sb="6" eb="9">
      <t>コウシュウカイ</t>
    </rPh>
    <rPh sb="13" eb="15">
      <t>コウザ</t>
    </rPh>
    <phoneticPr fontId="2"/>
  </si>
  <si>
    <t>ゆうちょ銀行</t>
    <rPh sb="4" eb="6">
      <t>ギンコウ</t>
    </rPh>
    <phoneticPr fontId="2"/>
  </si>
  <si>
    <t>2248283</t>
    <phoneticPr fontId="2"/>
  </si>
  <si>
    <t>青森眼科セミナーのための口座</t>
    <rPh sb="0" eb="4">
      <t>アオモリガンカ</t>
    </rPh>
    <rPh sb="12" eb="14">
      <t>コウザ</t>
    </rPh>
    <phoneticPr fontId="2"/>
  </si>
  <si>
    <t>青森眼科集談会　代表　松橋英昭</t>
    <rPh sb="0" eb="7">
      <t>アオモリガンカシュウダンカイ</t>
    </rPh>
    <rPh sb="8" eb="10">
      <t>ダイヒョウ</t>
    </rPh>
    <rPh sb="11" eb="13">
      <t>マツハシ</t>
    </rPh>
    <rPh sb="13" eb="15">
      <t>ヒデアキ</t>
    </rPh>
    <phoneticPr fontId="2"/>
  </si>
  <si>
    <t>3018360</t>
    <phoneticPr fontId="2"/>
  </si>
  <si>
    <t>用途など</t>
    <rPh sb="0" eb="2">
      <t>ヨウト</t>
    </rPh>
    <phoneticPr fontId="2"/>
  </si>
  <si>
    <t>日本眼科医連盟　青森支部長　松橋英昭</t>
    <rPh sb="0" eb="7">
      <t>ニホンガンカイレンメイ</t>
    </rPh>
    <rPh sb="8" eb="13">
      <t>アオモリシブチョウ</t>
    </rPh>
    <rPh sb="14" eb="16">
      <t>マツハシ</t>
    </rPh>
    <rPh sb="16" eb="18">
      <t>ヒデアキ</t>
    </rPh>
    <phoneticPr fontId="2"/>
  </si>
  <si>
    <t>3012053</t>
    <phoneticPr fontId="2"/>
  </si>
  <si>
    <t>合計</t>
    <rPh sb="0" eb="2">
      <t>ゴウケイ</t>
    </rPh>
    <phoneticPr fontId="2"/>
  </si>
  <si>
    <t>今期の支出</t>
    <rPh sb="0" eb="2">
      <t>コンキ</t>
    </rPh>
    <rPh sb="3" eb="5">
      <t>シシュツ</t>
    </rPh>
    <phoneticPr fontId="2"/>
  </si>
  <si>
    <t>政治団体</t>
    <rPh sb="0" eb="2">
      <t>セイジ</t>
    </rPh>
    <rPh sb="2" eb="4">
      <t>ダンタイ</t>
    </rPh>
    <phoneticPr fontId="2"/>
  </si>
  <si>
    <t>年月日</t>
  </si>
  <si>
    <t>支出/事務費/消耗品費</t>
  </si>
  <si>
    <t>支出/事務費/振込手数料</t>
  </si>
  <si>
    <t>支出/事業費/広報費</t>
  </si>
  <si>
    <t>収入/雑収入/セミナー参加料</t>
  </si>
  <si>
    <t>支出/事業費/公衆衛生費</t>
  </si>
  <si>
    <t>支出/事業費/学術費</t>
  </si>
  <si>
    <t>支出/事務費/通信費</t>
  </si>
  <si>
    <t>支出/慶弔費/慶弔費</t>
  </si>
  <si>
    <t>収入/雑収入/広告料収入</t>
  </si>
  <si>
    <t>収入/会費/B会員</t>
  </si>
  <si>
    <t>支出/事業費/庶務費</t>
  </si>
  <si>
    <t>収入/会費/A会員</t>
  </si>
  <si>
    <t>収入/雑収入/雑収入</t>
  </si>
  <si>
    <t>収入/補助金/補助金</t>
  </si>
  <si>
    <t>支出/事業費/眼科コ・メディカル関係費</t>
  </si>
  <si>
    <t>支出/出張費/出張旅費補助</t>
  </si>
  <si>
    <t>支出/事業費/学校保健費</t>
  </si>
  <si>
    <t>現金出納記録</t>
  </si>
  <si>
    <t>勘定科目ごとの小計</t>
  </si>
  <si>
    <t>借方金額</t>
  </si>
  <si>
    <t>貸方金額</t>
  </si>
  <si>
    <t>集計</t>
  </si>
  <si>
    <t>金額は円単位</t>
  </si>
  <si>
    <t>収入科目</t>
  </si>
  <si>
    <t>収入補助科目</t>
  </si>
  <si>
    <t>支出科目</t>
  </si>
  <si>
    <t>支出補助科目</t>
  </si>
  <si>
    <t>収支報告単位</t>
  </si>
  <si>
    <t>摘要</t>
  </si>
  <si>
    <t>予算 - 実績</t>
    <rPh sb="0" eb="2">
      <t>ヨサン</t>
    </rPh>
    <rPh sb="5" eb="7">
      <t>ジッセキ</t>
    </rPh>
    <phoneticPr fontId="3"/>
  </si>
  <si>
    <t>会報２回　掲載企業14社</t>
    <rPh sb="3" eb="4">
      <t>カイ</t>
    </rPh>
    <rPh sb="5" eb="7">
      <t>ケイサイ</t>
    </rPh>
    <rPh sb="7" eb="9">
      <t>キギョウ</t>
    </rPh>
    <rPh sb="11" eb="12">
      <t>シャ</t>
    </rPh>
    <phoneticPr fontId="3"/>
  </si>
  <si>
    <t>文具、コピー代、PC周辺機器他</t>
    <rPh sb="0" eb="2">
      <t>ブング</t>
    </rPh>
    <rPh sb="10" eb="14">
      <t>シュウヘンキキ</t>
    </rPh>
    <phoneticPr fontId="2"/>
  </si>
  <si>
    <t>６．眼科ｺ･ﾒﾃﾞｨｶﾙ関係費</t>
    <rPh sb="2" eb="4">
      <t>ガンカ</t>
    </rPh>
    <phoneticPr fontId="9"/>
  </si>
  <si>
    <t>差異</t>
    <rPh sb="0" eb="2">
      <t>サイ</t>
    </rPh>
    <phoneticPr fontId="3"/>
  </si>
  <si>
    <t>上記のほかに松橋英昭が名義人である銀行口座が下２つあるが、青森県眼科医会の決算には含めない</t>
    <rPh sb="0" eb="2">
      <t>ジョウキ</t>
    </rPh>
    <rPh sb="6" eb="10">
      <t>マツハシヒデアキ</t>
    </rPh>
    <rPh sb="11" eb="14">
      <t>メイギニン</t>
    </rPh>
    <rPh sb="17" eb="21">
      <t>ギンコウコウザ</t>
    </rPh>
    <rPh sb="22" eb="23">
      <t>シタ</t>
    </rPh>
    <rPh sb="29" eb="36">
      <t>アオモリケンガンカイカイ</t>
    </rPh>
    <rPh sb="37" eb="39">
      <t>ケッサン</t>
    </rPh>
    <rPh sb="41" eb="42">
      <t>フク</t>
    </rPh>
    <phoneticPr fontId="2"/>
  </si>
  <si>
    <t>前年度からの繰越金</t>
    <rPh sb="0" eb="3">
      <t>ゼンネンド</t>
    </rPh>
    <rPh sb="6" eb="9">
      <t>クリコシキン</t>
    </rPh>
    <phoneticPr fontId="2"/>
  </si>
  <si>
    <t>　</t>
    <phoneticPr fontId="2"/>
  </si>
  <si>
    <t>青森集談会のための口座</t>
    <rPh sb="0" eb="2">
      <t>アオモリ</t>
    </rPh>
    <rPh sb="2" eb="5">
      <t>シュウダンカイ</t>
    </rPh>
    <rPh sb="9" eb="11">
      <t>コウザ</t>
    </rPh>
    <phoneticPr fontId="2"/>
  </si>
  <si>
    <t>青森県眼科医会の主な口座</t>
    <rPh sb="0" eb="3">
      <t>アオモリケン</t>
    </rPh>
    <rPh sb="3" eb="7">
      <t>ガンカイカイ</t>
    </rPh>
    <rPh sb="8" eb="9">
      <t>オモ</t>
    </rPh>
    <rPh sb="10" eb="12">
      <t>コウザ</t>
    </rPh>
    <phoneticPr fontId="2"/>
  </si>
  <si>
    <t>支出/会議費/監査会費</t>
  </si>
  <si>
    <t>支出/事務費/交通費</t>
  </si>
  <si>
    <t>金額は円単位。△印はマイナス＝予算よりも実績が少ないことをしめす</t>
    <rPh sb="20" eb="22">
      <t>ジッセキ</t>
    </rPh>
    <phoneticPr fontId="2"/>
  </si>
  <si>
    <t>..\data\現金出納帳_青森県眼科医会_令和5年度.xlsm</t>
    <phoneticPr fontId="2"/>
  </si>
  <si>
    <t>令和5年4月1日の残高</t>
    <rPh sb="0" eb="2">
      <t>レイワ</t>
    </rPh>
    <rPh sb="3" eb="4">
      <t>ネン</t>
    </rPh>
    <rPh sb="5" eb="6">
      <t>ガツ</t>
    </rPh>
    <rPh sb="7" eb="8">
      <t>ニチ</t>
    </rPh>
    <rPh sb="9" eb="11">
      <t>ザンダカ</t>
    </rPh>
    <phoneticPr fontId="2"/>
  </si>
  <si>
    <t>事業費</t>
  </si>
  <si>
    <t>広報費</t>
  </si>
  <si>
    <t>世界緑内障週間協賛</t>
  </si>
  <si>
    <t>青森県観光物産館アスパム　ライトアップ３月１２～１８日</t>
  </si>
  <si>
    <t>事務費</t>
  </si>
  <si>
    <t>振込手数料</t>
  </si>
  <si>
    <t>青森銀行</t>
  </si>
  <si>
    <t>学術費</t>
  </si>
  <si>
    <t>集談会142</t>
  </si>
  <si>
    <t>補助金　弘前地区眼科医会へ</t>
  </si>
  <si>
    <t>講師謝礼　　</t>
  </si>
  <si>
    <t>お車代</t>
  </si>
  <si>
    <t>会議費</t>
  </si>
  <si>
    <t>監査会費</t>
  </si>
  <si>
    <t>R4年度監査会　2023年3月25日　白樺</t>
  </si>
  <si>
    <t>出張費</t>
  </si>
  <si>
    <t>出張旅費補助</t>
  </si>
  <si>
    <t>R4年度監査会青森市白樺　松橋英昭</t>
  </si>
  <si>
    <t>R5年度監査会青森市白樺　山崎仁志</t>
  </si>
  <si>
    <t>通信費</t>
  </si>
  <si>
    <t>切手</t>
  </si>
  <si>
    <t>３月臨時総会返信用封筒の切手１００枚</t>
  </si>
  <si>
    <t>３月臨時総会案内１００部郵送</t>
  </si>
  <si>
    <t>消耗品費</t>
  </si>
  <si>
    <t>封筒、コピー用紙、宛先シール</t>
  </si>
  <si>
    <t>FamillyMartで通帳をスキャン</t>
  </si>
  <si>
    <t>FamillyMartで領収書をスキャン</t>
  </si>
  <si>
    <t>監査役殿へ資料を郵送</t>
  </si>
  <si>
    <t>交通費</t>
  </si>
  <si>
    <t>浦山　３月２５日　青森市から八戸JR</t>
  </si>
  <si>
    <t>浦山　３月２５日　青森市へJR</t>
  </si>
  <si>
    <t>浦山　３月２５日　青森市　タクシー</t>
  </si>
  <si>
    <t>FamillyMartで監査報告書をスキャン</t>
  </si>
  <si>
    <t>青森銀行EBサービス利用料</t>
  </si>
  <si>
    <t>雑収入</t>
  </si>
  <si>
    <t>セミナー参加料</t>
  </si>
  <si>
    <t>眼科フォーラム</t>
  </si>
  <si>
    <t>ｻｲﾄｳ　ｹｲｺ</t>
  </si>
  <si>
    <t>ﾄﾘﾌﾟﾙｱｲ（徴収代行）</t>
  </si>
  <si>
    <t>会費</t>
  </si>
  <si>
    <t>A会員</t>
  </si>
  <si>
    <t>ﾏﾂﾊｼ　ﾋﾃﾞｱｷ</t>
  </si>
  <si>
    <t>会報７５</t>
  </si>
  <si>
    <t>凸版メディア</t>
  </si>
  <si>
    <t>ATM入金</t>
  </si>
  <si>
    <t>広告料収入</t>
  </si>
  <si>
    <t>会報７６</t>
  </si>
  <si>
    <t>ｱｲﾃｯｸ</t>
  </si>
  <si>
    <t>AMO JAPAN</t>
  </si>
  <si>
    <t>診療術アップデート</t>
  </si>
  <si>
    <t>参加８９名</t>
  </si>
  <si>
    <t>ﾀﾑﾗ　ﾏｻﾄ</t>
  </si>
  <si>
    <t>ｺﾎﾞﾘ　ｶｽﾞｺ</t>
  </si>
  <si>
    <t>ﾊﾗ　ｼﾝﾔ　アンドアイ</t>
  </si>
  <si>
    <t>ﾒﾄｷ　ﾄﾓﾐ</t>
  </si>
  <si>
    <t>ﾐｶﾐ　ｹｲｲﾁ</t>
  </si>
  <si>
    <t>ｸﾎﾞ　ﾏｻﾌﾞﾐ　吹上眼科</t>
  </si>
  <si>
    <t>ﾀｶﾊｼ　ﾀﾞｲｽｹ</t>
  </si>
  <si>
    <t>ﾔﾏｻﾞｷ　ﾋﾄｼ　山崎眼科</t>
  </si>
  <si>
    <t>ﾐｶﾐ　ｶﾂﾖ</t>
  </si>
  <si>
    <t>D会員</t>
  </si>
  <si>
    <t>収入/会費/D会員</t>
  </si>
  <si>
    <t>ﾂｼﾏ　ｹｲｺ</t>
  </si>
  <si>
    <t>ｵｵｼﾏ　ﾏﾘ</t>
  </si>
  <si>
    <t>ｸﾛﾀｷ　ｼﾞｭﾝｼﾞ</t>
  </si>
  <si>
    <t>B会員</t>
  </si>
  <si>
    <t>ｽｽﾞｷ　ｶｵﾘ</t>
  </si>
  <si>
    <t>ｵｵﾀ　ﾀｸﾔ</t>
  </si>
  <si>
    <t>ｸﾘﾊﾗ　ﾑﾂﾐ</t>
  </si>
  <si>
    <t>ｶﾀﾔﾏ　ｷﾐﾖ</t>
  </si>
  <si>
    <t>ｾｷﾉ　ﾀﾀﾞｵ</t>
  </si>
  <si>
    <t>ｼﾗﾊﾏ　ｸﾐ</t>
  </si>
  <si>
    <t>ｱｽﾞﾏ　ﾋﾛｺ</t>
  </si>
  <si>
    <t>ｱﾗｲ　ﾕｳｺ</t>
  </si>
  <si>
    <t>ﾎｿｶﾜ　ﾀｶﾌﾐ　十和田眼科クリニック</t>
  </si>
  <si>
    <t>ﾊﾗﾀﾞ　ｻﾁｺ</t>
  </si>
  <si>
    <t>ﾀｶﾊｼ　ｹｲｼﾞ</t>
  </si>
  <si>
    <t>ﾌｸﾀﾞｱﾂｼ　明央会</t>
  </si>
  <si>
    <t>ｻｸﾗﾊﾞ　ﾄﾓｷ</t>
  </si>
  <si>
    <t>ﾅｶﾉ　ﾐﾅ　</t>
  </si>
  <si>
    <t>ﾅﾘﾀ　ｷﾖﾊﾙ</t>
  </si>
  <si>
    <t>ｲﾁﾉﾍ　ｻﾄｼ　一美会</t>
  </si>
  <si>
    <t>ｲﾃﾞ　ﾃﾂﾖｼ</t>
  </si>
  <si>
    <t>ｸﾄﾞｳ　ｱｷｺ</t>
  </si>
  <si>
    <t>ﾂﾉﾀﾞ　ｶﾝﾅ</t>
  </si>
  <si>
    <t>ﾔﾏｶﾞﾐ　ｷﾖｼ</t>
  </si>
  <si>
    <t>ｲﾄｳ　ﾀﾀﾞｼ</t>
  </si>
  <si>
    <t>ｽｲﾀ　ﾖｼｺ</t>
  </si>
  <si>
    <t>ﾊｼ　ﾋﾃﾞｱﾂ</t>
  </si>
  <si>
    <t>ｸﾏｶﾞｲﾄﾓﾕｷ</t>
  </si>
  <si>
    <t>ﾏｶﾅｲ　ﾉﾌﾞﾖｼ</t>
  </si>
  <si>
    <t>ﾐｽﾞﾀﾆ　ﾅﾂｺ</t>
  </si>
  <si>
    <t>ﾐｽﾞﾀﾆ　ﾋﾃﾞﾕｷ</t>
  </si>
  <si>
    <t>ｳﾘﾀ　ﾁｻｺ</t>
  </si>
  <si>
    <t>ﾔﾏｶﾞﾐ　ﾐﾅｺ</t>
  </si>
  <si>
    <t>ｶﾀｵｶ　ﾋﾃﾞｷ</t>
  </si>
  <si>
    <t>ｶﾀｵｶ　ﾌﾐｺ</t>
  </si>
  <si>
    <t>ｶﾄｳ　ﾁﾋﾛ</t>
  </si>
  <si>
    <t>日東メディック</t>
  </si>
  <si>
    <t>千寿製薬</t>
  </si>
  <si>
    <t>ケービジョン</t>
  </si>
  <si>
    <t>ｺﾞﾝ　ｱｷﾑﾈ　ｲ)ｹｲｾｲ</t>
  </si>
  <si>
    <t>ﾛｰﾄﾆｯﾃﾝ</t>
  </si>
  <si>
    <t>ﾊﾏﾊﾞﾀ　ｸﾆｺ　ｲ)ﾆｷﾕｳ</t>
  </si>
  <si>
    <t>ﾐｶﾐ　ﾀﾀﾞｼ　ﾐｶﾐｶﾞﾝｶｲｲﾝ</t>
  </si>
  <si>
    <t>ﾀｶﾊｼ　ﾅﾐｺ</t>
  </si>
  <si>
    <t>ｸﾏｶﾞｲ　ｼｭﾝｲﾁ</t>
  </si>
  <si>
    <t>ﾅｶﾑﾗﾋﾃﾞｵ</t>
  </si>
  <si>
    <t>ﾅｶﾑﾗﾋﾃﾞﾖ</t>
  </si>
  <si>
    <t>ﾀｶﾊｼ　ﾐﾕｷ</t>
  </si>
  <si>
    <t>ｲﾄｳ　ﾁﾊﾙ</t>
  </si>
  <si>
    <t>眼科コ・メディカル関係費</t>
  </si>
  <si>
    <t>青森視能訓練士の会　令和５年度　協力金</t>
  </si>
  <si>
    <t>ｼｮｳｼﾞ　ﾖｳｺ</t>
  </si>
  <si>
    <t>ﾑｶｲﾀﾞ　ﾔｽｺ</t>
  </si>
  <si>
    <t>ﾐﾔｶﾞﾜ　ﾔｽﾋﾛ</t>
  </si>
  <si>
    <t>慶弔費</t>
  </si>
  <si>
    <t>デーリー東北新聞社葬儀広告　浅水家</t>
  </si>
  <si>
    <t>ｻﾄｳ　ﾓﾄﾔ</t>
  </si>
  <si>
    <t>ｶｹﾞﾔﾏ　ﾄｼﾕｷ</t>
  </si>
  <si>
    <t>ｶｹﾞﾔﾏ　ﾐｷ</t>
  </si>
  <si>
    <t>ｲﾜﾌﾈ　ﾕｳｲﾁ　ｱｲｸﾘﾆｯｸ</t>
  </si>
  <si>
    <t>日本アルコン</t>
  </si>
  <si>
    <t>ｷﾑﾗ　ｻﾄﾙ</t>
  </si>
  <si>
    <t>ｻﾝﾉﾍ　ﾁｶｺ</t>
  </si>
  <si>
    <t>HOYA</t>
  </si>
  <si>
    <t>ｷﾑﾗ　ﾓﾓｺ</t>
  </si>
  <si>
    <t>ﾀｹｳﾁ　ｷﾐｵ　（医）青森眼科</t>
  </si>
  <si>
    <t>ｻｲﾄｳ　ｶﾎﾘ　（医）青森眼科</t>
  </si>
  <si>
    <t>ｻｲﾄｳ　ｶﾎﾘ　★重複、返金すべき★</t>
  </si>
  <si>
    <t>ｷﾑﾗ　ｻﾄﾐ</t>
  </si>
  <si>
    <t>ﾏﾂﾓﾄ　ﾐﾂｵ</t>
  </si>
  <si>
    <t>ｷｸﾁﾔｽﾋﾛ</t>
  </si>
  <si>
    <t>ﾒﾆｺﾝ</t>
  </si>
  <si>
    <t>ﾁｭｳｶﾞｲｾｲﾔｸ</t>
  </si>
  <si>
    <t>ﾜｶﾓﾄｾｲﾔｸ</t>
  </si>
  <si>
    <t>ｻﾝﾃﾝｾｲﾔｸ</t>
  </si>
  <si>
    <t>シード</t>
  </si>
  <si>
    <t>クーパービジョン</t>
  </si>
  <si>
    <t>ﾖｼﾀﾞｺｳｲﾁ</t>
  </si>
  <si>
    <t>有）ﾀｶﾃｲ生花店　浅水様　生花</t>
  </si>
  <si>
    <t>ｺｳﾜ</t>
  </si>
  <si>
    <t>利息</t>
  </si>
  <si>
    <t>補助金</t>
  </si>
  <si>
    <t>日本眼科医会から令和5年度WEB環境整備のための助成金として</t>
  </si>
  <si>
    <t>眼科診療術アップデート</t>
  </si>
  <si>
    <t>学校保健費</t>
  </si>
  <si>
    <t>SPAM近視実態調査　報酬の差額分を補助　弘前地区眼科医会代表太田卓也先生へ</t>
  </si>
  <si>
    <t>公衆衛生費</t>
  </si>
  <si>
    <t>弘前大学アイバンクへ運営資金を寄付</t>
  </si>
  <si>
    <t>第1回総会　4月16日JR本八戸から八戸</t>
  </si>
  <si>
    <t>第1回総会　4月16日JR八戸から新青森特急料金</t>
  </si>
  <si>
    <t>第1回総会　4月16日JR八戸から弘前乗車券</t>
  </si>
  <si>
    <t>第1回総会　4月16日JR新青森から弘前指定券</t>
  </si>
  <si>
    <t>第1回総会　4月16日JR弘前から八戸乗車券</t>
  </si>
  <si>
    <t>第1回総会　4月16日JR新青森から八戸特急料金</t>
  </si>
  <si>
    <t>第1回総会　4月16日JR八戸から本八戸</t>
  </si>
  <si>
    <t>日本眼科医会会員管理係へ入会届を郵送</t>
  </si>
  <si>
    <t>入会届をスキャンしてPDFファイルに</t>
  </si>
  <si>
    <t>ラベルシール、コピー用紙　ADACHI</t>
  </si>
  <si>
    <t>新入会員へ資料郵送</t>
  </si>
  <si>
    <t>R5年度会費納入のお願いを全会員へ郵送</t>
  </si>
  <si>
    <t>宮城県眼科医会へ宛名シールを郵送</t>
  </si>
  <si>
    <t>会報75協賛企業へ会報を郵送</t>
  </si>
  <si>
    <t>全会員へ会報７５を郵送</t>
  </si>
  <si>
    <t>ﾜｶｸﾘ　ﾀｶｼ</t>
  </si>
  <si>
    <t>ﾉﾀﾞ　ﾔｽｺ</t>
  </si>
  <si>
    <t>ｼｮｳｼﾞ　ﾀｸﾛｳ　ｲ)ｴﾑｴｽﾃｲｶｲ</t>
  </si>
  <si>
    <t>青森集談会</t>
  </si>
  <si>
    <t>第143回　山口剛史先生　謝礼</t>
  </si>
  <si>
    <t>第143回　山口剛史先生　お車代</t>
  </si>
  <si>
    <t>第143回　参加４３名から徴収した会費＠2000円</t>
  </si>
  <si>
    <t>演題募集用葉書</t>
  </si>
  <si>
    <t>プログラム印刷用紙</t>
  </si>
  <si>
    <t>プログラム郵送代</t>
  </si>
  <si>
    <t>第143回　9月23日講師歓迎会の飲食代</t>
  </si>
  <si>
    <t>弘大教室田澤さんへの日当</t>
  </si>
  <si>
    <t>第143回集談会に浦山が出張　JR八戸・青森往復</t>
  </si>
  <si>
    <t>第143回集談会に浦山が出張　JR新青森・会場　ﾀｸｼｰ</t>
  </si>
  <si>
    <t>ファミリーマート　集談会参加者名簿をPDF化</t>
  </si>
  <si>
    <t>ｼｶﾅｲ　ﾕｳｷ　ｲ)ｼﾞﾝｼﾞﾕｶｲ</t>
  </si>
  <si>
    <t>振替</t>
  </si>
  <si>
    <t>?/?</t>
  </si>
  <si>
    <t>参天製薬殿立替清算のため現金を用意</t>
  </si>
  <si>
    <t>参天製薬殿立替金額修正のため現金を戻す</t>
  </si>
  <si>
    <t>第１４３回　会場費　リンクステーション青森</t>
  </si>
  <si>
    <t>マイク・マイクスタンド・プロジェクタ・電源</t>
  </si>
  <si>
    <t>垂れ幕</t>
  </si>
  <si>
    <t>お弁当、コーヒー</t>
  </si>
  <si>
    <t>ミネラルウオーター５５本、お茶９本</t>
  </si>
  <si>
    <t>駐車場代　来場者１６台ぶん</t>
  </si>
  <si>
    <t>講師宿泊費　ホテル青森</t>
  </si>
  <si>
    <t>講師交通費　東京ー＞新青森</t>
  </si>
  <si>
    <t>講師交通費　東京＜－新青森</t>
  </si>
  <si>
    <t>東奥日報社に目の愛護デーの広告10月9日掲載</t>
  </si>
  <si>
    <t>青森眼科セミナー</t>
  </si>
  <si>
    <t>１０月２８日青森眼科セミナー慰労会　講師2名分</t>
  </si>
  <si>
    <t>１０月２８日青森眼科セミナー慰労会　勤務医１名</t>
  </si>
  <si>
    <t>印刷代　凸版メディア</t>
  </si>
  <si>
    <t>会費納入のお願い4通</t>
  </si>
  <si>
    <t>日本眼科医会宛　会員異動届</t>
  </si>
  <si>
    <t>ラベルシール等</t>
  </si>
  <si>
    <t>B5コピー用紙</t>
  </si>
  <si>
    <t>会員105名、各地方眼科医会46か所、企業15社</t>
  </si>
  <si>
    <t>総会案内に同封する返信用切手１０５枚</t>
  </si>
  <si>
    <t>長3封筒100通、糊、クリップ</t>
  </si>
  <si>
    <t>臨時総会案内104通を郵送</t>
  </si>
  <si>
    <t>会報77</t>
  </si>
  <si>
    <t>庶務費</t>
  </si>
  <si>
    <t>ホームページ利用料１年分GMOグローバルサイン・HD</t>
  </si>
  <si>
    <t>R5年度予算</t>
    <phoneticPr fontId="2"/>
  </si>
  <si>
    <t>R5年度実績</t>
    <rPh sb="2" eb="4">
      <t>ネンド</t>
    </rPh>
    <rPh sb="4" eb="6">
      <t>ジッセキ</t>
    </rPh>
    <phoneticPr fontId="3"/>
  </si>
  <si>
    <t>弘前大学医学部に所属するB会員の先生方まとめて</t>
  </si>
  <si>
    <t>C会員</t>
  </si>
  <si>
    <t>収入/会費/C会員</t>
  </si>
  <si>
    <t>弘前大学医学部に所属するC会員の先生方まとめて</t>
  </si>
  <si>
    <t>印刷費　第12回山崎仁志先生が立て替えたのを清算</t>
  </si>
  <si>
    <t>謝礼金　講師　類家浩司　様</t>
  </si>
  <si>
    <t>謝礼金　講師への手土産</t>
  </si>
  <si>
    <t>会場費　VISITはちのへ（ユートリー）</t>
  </si>
  <si>
    <t>謝礼金　眼科フォーラム講師慰労会　青森ポミエ</t>
  </si>
  <si>
    <t>斎藤かほり先生に返金（青森眼科から納入ずみのところ斎藤先生個人からも支払われて重複、それを清算するため）</t>
  </si>
  <si>
    <t>会場費　5月27日第２２回青森県眼科フォーラム会場費の一部負担金を千寿製薬下川さんが立替えた。事後清算</t>
  </si>
  <si>
    <t>集談会、眼科フォーラム、診療術アップデート</t>
    <rPh sb="0" eb="3">
      <t>シュウダンカイ</t>
    </rPh>
    <rPh sb="4" eb="6">
      <t>ガンカ</t>
    </rPh>
    <rPh sb="12" eb="14">
      <t>シンリョウ</t>
    </rPh>
    <rPh sb="14" eb="15">
      <t>ジュツ</t>
    </rPh>
    <phoneticPr fontId="2"/>
  </si>
  <si>
    <t>謝礼金　講師木川正博派遣　東京海上日動メディカルサービスへ</t>
  </si>
  <si>
    <t>青銀EBサービス</t>
  </si>
  <si>
    <t>クーパービジョンジャパン</t>
  </si>
  <si>
    <t>伊藤信一先生御令室伊藤富子様の花料　花誠</t>
  </si>
  <si>
    <t>東北眼科医会連　ﾓﾘﾄｼﾛｳ</t>
  </si>
  <si>
    <t>伊藤信一先生御令室伊藤富子様　香典</t>
  </si>
  <si>
    <t>社会保険費</t>
  </si>
  <si>
    <t>支出/事業費/社会保険費</t>
  </si>
  <si>
    <t>社会保険審査委員連絡会慰労金　水谷　英之</t>
  </si>
  <si>
    <t>社会保険審査委員連絡会慰労金　権　昭致</t>
  </si>
  <si>
    <t>社会保険審査委員連絡会慰労金　松本　光生</t>
  </si>
  <si>
    <t>社会保険審査委員連絡会慰労金　東　寛子</t>
  </si>
  <si>
    <t>日本眼科医会　代議員総務・経理合同常任委員会　松橋英昭</t>
  </si>
  <si>
    <t>全国審査委員連絡協議会　水谷</t>
  </si>
  <si>
    <t>日本眼科医会定時代議員会　松橋英昭　5千円×2日間</t>
  </si>
  <si>
    <t>日本眼科医会定時代議員会　伊藤　忠　5千円×2日間</t>
  </si>
  <si>
    <t>日本眼科医会公衆衛生委員会　高橋大介</t>
  </si>
  <si>
    <t>全国健保担当理事連絡会　松本　光生</t>
  </si>
  <si>
    <t>全国会長会議　松橋英昭</t>
  </si>
  <si>
    <t>第22回全国勤務医連絡協議会　工藤孝志</t>
  </si>
  <si>
    <t>第46回全国眼科学校医連絡協議会　加藤智博</t>
  </si>
  <si>
    <t>第6回全国眼科ダイバーシティ推進協議会　目時友美</t>
  </si>
  <si>
    <t>第6回全国眼科ダイバーシティ推進協議会　伊藤忠</t>
  </si>
  <si>
    <t>免除会員8名</t>
    <phoneticPr fontId="3"/>
  </si>
  <si>
    <t xml:space="preserve">43,000×46名 </t>
    <phoneticPr fontId="2"/>
  </si>
  <si>
    <t>10,000×1名</t>
    <phoneticPr fontId="3"/>
  </si>
  <si>
    <t>日本眼科医会から50万円、東北眼科医連から65千円</t>
    <rPh sb="10" eb="11">
      <t>マン</t>
    </rPh>
    <rPh sb="11" eb="12">
      <t>エン</t>
    </rPh>
    <rPh sb="13" eb="18">
      <t>トウホクガンカイ</t>
    </rPh>
    <rPh sb="18" eb="19">
      <t>レン</t>
    </rPh>
    <rPh sb="23" eb="24">
      <t>セン</t>
    </rPh>
    <rPh sb="24" eb="25">
      <t>エン</t>
    </rPh>
    <phoneticPr fontId="2"/>
  </si>
  <si>
    <t>会報No.76へ15社から。
会報No.77へ1月31日までに5社から。</t>
    <rPh sb="15" eb="17">
      <t>カイホウ</t>
    </rPh>
    <phoneticPr fontId="2"/>
  </si>
  <si>
    <t>利子等</t>
    <rPh sb="0" eb="2">
      <t>リシ</t>
    </rPh>
    <rPh sb="2" eb="3">
      <t>トウ</t>
    </rPh>
    <phoneticPr fontId="2"/>
  </si>
  <si>
    <t>眼科フォーラム、診療術アップデート、集談会の参加料</t>
    <rPh sb="0" eb="2">
      <t>ガンカ</t>
    </rPh>
    <rPh sb="8" eb="11">
      <t>シンリョウジュツ</t>
    </rPh>
    <rPh sb="18" eb="21">
      <t>シュウダンカイ</t>
    </rPh>
    <rPh sb="22" eb="25">
      <t>サンカリョウ</t>
    </rPh>
    <phoneticPr fontId="2"/>
  </si>
  <si>
    <t>会計監査年1回</t>
    <rPh sb="0" eb="2">
      <t>カイケイ</t>
    </rPh>
    <rPh sb="2" eb="4">
      <t>カンサ</t>
    </rPh>
    <rPh sb="4" eb="5">
      <t>ネン</t>
    </rPh>
    <rPh sb="6" eb="7">
      <t>カイ</t>
    </rPh>
    <phoneticPr fontId="2"/>
  </si>
  <si>
    <t>コピー用紙、ファイル、プリンタ用品、封筒他</t>
    <rPh sb="3" eb="5">
      <t>ヨウシ</t>
    </rPh>
    <rPh sb="15" eb="17">
      <t>ヨウヒン</t>
    </rPh>
    <rPh sb="20" eb="21">
      <t>ホカ</t>
    </rPh>
    <phoneticPr fontId="2"/>
  </si>
  <si>
    <t xml:space="preserve"> 令和６年度青森県眼科医会収支予算（案）</t>
    <rPh sb="1" eb="3">
      <t>レイワ</t>
    </rPh>
    <rPh sb="13" eb="15">
      <t>シュウシ</t>
    </rPh>
    <rPh sb="15" eb="17">
      <t>ヨサン</t>
    </rPh>
    <rPh sb="18" eb="19">
      <t>アン</t>
    </rPh>
    <phoneticPr fontId="3"/>
  </si>
  <si>
    <t>R５年度の現金出納の明細が「現金出納記録」シートのなかにあります。</t>
    <rPh sb="2" eb="4">
      <t>ネンド</t>
    </rPh>
    <rPh sb="5" eb="9">
      <t>ゲンキンスイトウ</t>
    </rPh>
    <rPh sb="10" eb="12">
      <t>メイサイ</t>
    </rPh>
    <rPh sb="14" eb="20">
      <t>ゲンキンスイトウキロク</t>
    </rPh>
    <phoneticPr fontId="2"/>
  </si>
  <si>
    <t>セミナー参加料など</t>
    <rPh sb="4" eb="7">
      <t>サンカリョウ</t>
    </rPh>
    <phoneticPr fontId="1"/>
  </si>
  <si>
    <t>前年実績と同じとする</t>
    <rPh sb="0" eb="2">
      <t>ゼンネン</t>
    </rPh>
    <rPh sb="2" eb="4">
      <t>ジッセキ</t>
    </rPh>
    <rPh sb="5" eb="6">
      <t>オナ</t>
    </rPh>
    <phoneticPr fontId="2"/>
  </si>
  <si>
    <t>R4年度実績：日眼医50万、東北眼科医会連合会6万5千。R5年度も同じ。</t>
    <rPh sb="2" eb="4">
      <t>ネンド</t>
    </rPh>
    <rPh sb="4" eb="6">
      <t>ジッセキ</t>
    </rPh>
    <rPh sb="7" eb="10">
      <t>ニチガンイ</t>
    </rPh>
    <rPh sb="12" eb="13">
      <t>マン</t>
    </rPh>
    <rPh sb="14" eb="16">
      <t>トウホク</t>
    </rPh>
    <rPh sb="16" eb="19">
      <t>ガンカイ</t>
    </rPh>
    <rPh sb="19" eb="20">
      <t>カイ</t>
    </rPh>
    <rPh sb="20" eb="23">
      <t>レンゴウカイ</t>
    </rPh>
    <rPh sb="24" eb="25">
      <t>マン</t>
    </rPh>
    <rPh sb="26" eb="27">
      <t>セン</t>
    </rPh>
    <rPh sb="30" eb="32">
      <t>ネンド</t>
    </rPh>
    <rPh sb="33" eb="34">
      <t>オナ</t>
    </rPh>
    <phoneticPr fontId="1"/>
  </si>
  <si>
    <t>R６年度予算</t>
    <phoneticPr fontId="3"/>
  </si>
  <si>
    <t>前年度予算</t>
    <rPh sb="0" eb="3">
      <t>ゼンネンド</t>
    </rPh>
    <rPh sb="1" eb="3">
      <t>ネンド</t>
    </rPh>
    <rPh sb="3" eb="5">
      <t>ヨサン</t>
    </rPh>
    <phoneticPr fontId="2"/>
  </si>
  <si>
    <t>前年度予算</t>
    <rPh sb="0" eb="1">
      <t>ゼン</t>
    </rPh>
    <rPh sb="1" eb="3">
      <t>ネンド</t>
    </rPh>
    <rPh sb="3" eb="5">
      <t>ヨサン</t>
    </rPh>
    <phoneticPr fontId="2"/>
  </si>
  <si>
    <t>増減</t>
    <rPh sb="0" eb="2">
      <t>ゾウゲン</t>
    </rPh>
    <phoneticPr fontId="2"/>
  </si>
  <si>
    <t>増減</t>
    <phoneticPr fontId="2"/>
  </si>
  <si>
    <t>前年度予算と同じとする。会報次号の広告料がまだ振り込まれていないので実績値を参照しづらいので。</t>
    <rPh sb="0" eb="2">
      <t>ゼンネン</t>
    </rPh>
    <rPh sb="2" eb="3">
      <t>ド</t>
    </rPh>
    <rPh sb="3" eb="5">
      <t>ヨサン</t>
    </rPh>
    <rPh sb="6" eb="7">
      <t>オナ</t>
    </rPh>
    <rPh sb="12" eb="14">
      <t>カイホウ</t>
    </rPh>
    <rPh sb="14" eb="16">
      <t>ジゴウ</t>
    </rPh>
    <rPh sb="17" eb="20">
      <t>コウコクリョウ</t>
    </rPh>
    <rPh sb="23" eb="24">
      <t>フ</t>
    </rPh>
    <rPh sb="25" eb="26">
      <t>コ</t>
    </rPh>
    <rPh sb="34" eb="36">
      <t>ジッセキ</t>
    </rPh>
    <rPh sb="36" eb="37">
      <t>チ</t>
    </rPh>
    <rPh sb="38" eb="40">
      <t>サンショウ</t>
    </rPh>
    <phoneticPr fontId="2"/>
  </si>
  <si>
    <t>４.交 通 費</t>
    <phoneticPr fontId="2"/>
  </si>
  <si>
    <t>５.消 耗 品 費</t>
    <phoneticPr fontId="2"/>
  </si>
  <si>
    <t>３.振込手数料</t>
    <rPh sb="2" eb="7">
      <t>フリコミテスウリョウ</t>
    </rPh>
    <phoneticPr fontId="2"/>
  </si>
  <si>
    <t>事務局の出張の交通費</t>
    <rPh sb="0" eb="3">
      <t>ジムキョク</t>
    </rPh>
    <rPh sb="4" eb="6">
      <t>シュッチョウ</t>
    </rPh>
    <rPh sb="7" eb="10">
      <t>コウツウヒ</t>
    </rPh>
    <phoneticPr fontId="2"/>
  </si>
  <si>
    <t>勘定科目「振込手数料」を追加したい</t>
    <rPh sb="0" eb="4">
      <t>カンジョウカモク</t>
    </rPh>
    <rPh sb="5" eb="7">
      <t>フリコミ</t>
    </rPh>
    <rPh sb="7" eb="10">
      <t>テスウリョウ</t>
    </rPh>
    <rPh sb="12" eb="14">
      <t>ツイカ</t>
    </rPh>
    <phoneticPr fontId="2"/>
  </si>
  <si>
    <t>前年度末時点の預金通帳の残高</t>
    <rPh sb="0" eb="4">
      <t>ゼンネンドマツ</t>
    </rPh>
    <rPh sb="4" eb="6">
      <t>ジテン</t>
    </rPh>
    <rPh sb="7" eb="9">
      <t>ヨキン</t>
    </rPh>
    <rPh sb="9" eb="11">
      <t>ツウチョウ</t>
    </rPh>
    <rPh sb="12" eb="14">
      <t>ザンダカ</t>
    </rPh>
    <phoneticPr fontId="2"/>
  </si>
  <si>
    <t>コピー機を買ったりはしない、20万円も使わない</t>
    <rPh sb="3" eb="4">
      <t>キ</t>
    </rPh>
    <rPh sb="5" eb="6">
      <t>カ</t>
    </rPh>
    <rPh sb="16" eb="17">
      <t>マン</t>
    </rPh>
    <rPh sb="17" eb="18">
      <t>エン</t>
    </rPh>
    <rPh sb="19" eb="20">
      <t>ツカ</t>
    </rPh>
    <phoneticPr fontId="2"/>
  </si>
  <si>
    <t>青銀</t>
    <rPh sb="0" eb="2">
      <t>アオギン</t>
    </rPh>
    <phoneticPr fontId="2"/>
  </si>
  <si>
    <t>23,000×勤務医38名　</t>
    <rPh sb="7" eb="10">
      <t>キンムイ</t>
    </rPh>
    <phoneticPr fontId="2"/>
  </si>
  <si>
    <t>10,000×大学12名</t>
    <rPh sb="7" eb="9">
      <t>ダイガク</t>
    </rPh>
    <phoneticPr fontId="2"/>
  </si>
  <si>
    <t xml:space="preserve">43,000×開業46名 </t>
    <rPh sb="7" eb="9">
      <t>カイギョウ</t>
    </rPh>
    <phoneticPr fontId="2"/>
  </si>
  <si>
    <t>23,000×勤務38名　</t>
    <rPh sb="7" eb="9">
      <t>キンム</t>
    </rPh>
    <phoneticPr fontId="2"/>
  </si>
  <si>
    <t>5,500×96名</t>
    <phoneticPr fontId="1"/>
  </si>
  <si>
    <t>令和5年度は請求されなかったから出費ゼロ。令和6年度はA,B,C会員の人数ぶん請求される見込み。</t>
    <rPh sb="0" eb="2">
      <t>レイワ</t>
    </rPh>
    <rPh sb="3" eb="5">
      <t>ネンド</t>
    </rPh>
    <rPh sb="6" eb="8">
      <t>セイキュウ</t>
    </rPh>
    <rPh sb="16" eb="18">
      <t>シュッピ</t>
    </rPh>
    <rPh sb="21" eb="23">
      <t>レイワ</t>
    </rPh>
    <rPh sb="24" eb="26">
      <t>ネンド</t>
    </rPh>
    <rPh sb="39" eb="41">
      <t>セイキュウ</t>
    </rPh>
    <rPh sb="44" eb="46">
      <t>ミコ</t>
    </rPh>
    <phoneticPr fontId="2"/>
  </si>
  <si>
    <t>音響機器等</t>
    <rPh sb="0" eb="2">
      <t>オンキョウ</t>
    </rPh>
    <rPh sb="2" eb="4">
      <t>キキ</t>
    </rPh>
    <rPh sb="4" eb="5">
      <t>トウ</t>
    </rPh>
    <phoneticPr fontId="2"/>
  </si>
  <si>
    <t>前年度実績を考慮</t>
    <rPh sb="0" eb="3">
      <t>ゼンネンド</t>
    </rPh>
    <rPh sb="3" eb="5">
      <t>ジッセキ</t>
    </rPh>
    <rPh sb="6" eb="8">
      <t>コウリョ</t>
    </rPh>
    <phoneticPr fontId="2"/>
  </si>
  <si>
    <t>おおすじ前年度予算を踏襲</t>
    <rPh sb="4" eb="7">
      <t>ゼンネンド</t>
    </rPh>
    <rPh sb="7" eb="9">
      <t>ヨサン</t>
    </rPh>
    <rPh sb="10" eb="12">
      <t>トウシュウ</t>
    </rPh>
    <phoneticPr fontId="2"/>
  </si>
  <si>
    <t>予算額があっても実際そんなに使っていない。どうしたものか？</t>
    <rPh sb="0" eb="2">
      <t>ヨサン</t>
    </rPh>
    <rPh sb="2" eb="3">
      <t>ガク</t>
    </rPh>
    <rPh sb="8" eb="10">
      <t>ジッサイ</t>
    </rPh>
    <rPh sb="14" eb="15">
      <t>ツカ</t>
    </rPh>
    <phoneticPr fontId="2"/>
  </si>
  <si>
    <t>対前年比変わらず</t>
    <rPh sb="0" eb="3">
      <t>タイゼンネン</t>
    </rPh>
    <rPh sb="3" eb="4">
      <t>ヒ</t>
    </rPh>
    <rPh sb="4" eb="5">
      <t>カ</t>
    </rPh>
    <phoneticPr fontId="2"/>
  </si>
  <si>
    <t/>
  </si>
  <si>
    <t>収入（E17）</t>
    <rPh sb="0" eb="2">
      <t>シュウニュウ</t>
    </rPh>
    <phoneticPr fontId="2"/>
  </si>
  <si>
    <t>支出（E20+E27+E29+E40+E44+E46+E48）</t>
    <rPh sb="0" eb="1">
      <t>シシュツ</t>
    </rPh>
    <phoneticPr fontId="2"/>
  </si>
  <si>
    <t>収入－支出＝予備費</t>
    <rPh sb="0" eb="2">
      <t>シュウニュウ</t>
    </rPh>
    <rPh sb="3" eb="5">
      <t>シシュツ</t>
    </rPh>
    <rPh sb="6" eb="9">
      <t>ヨビヒ</t>
    </rPh>
    <phoneticPr fontId="2"/>
  </si>
  <si>
    <t>2024年2月7日作成　事務局浦山</t>
    <rPh sb="4" eb="5">
      <t>ネン</t>
    </rPh>
    <rPh sb="6" eb="7">
      <t>ガツ</t>
    </rPh>
    <rPh sb="8" eb="9">
      <t>ニチ</t>
    </rPh>
    <rPh sb="9" eb="11">
      <t>サクセイ</t>
    </rPh>
    <rPh sb="12" eb="15">
      <t>ジムキョク</t>
    </rPh>
    <rPh sb="15" eb="17">
      <t>ウラヤマ</t>
    </rPh>
    <phoneticPr fontId="2"/>
  </si>
  <si>
    <t>令和6年度予算</t>
    <rPh sb="0" eb="2">
      <t>レイワ</t>
    </rPh>
    <phoneticPr fontId="3"/>
  </si>
  <si>
    <t>前年度決算
見込み</t>
    <rPh sb="0" eb="3">
      <t>ゼンネンド</t>
    </rPh>
    <rPh sb="3" eb="5">
      <t>ケッサン</t>
    </rPh>
    <rPh sb="6" eb="8">
      <t>ミコ</t>
    </rPh>
    <phoneticPr fontId="2"/>
  </si>
  <si>
    <t>前年度決算
見込み</t>
    <rPh sb="0" eb="1">
      <t>マエ</t>
    </rPh>
    <rPh sb="1" eb="3">
      <t>ネンド</t>
    </rPh>
    <rPh sb="3" eb="5">
      <t>ケッサン</t>
    </rPh>
    <rPh sb="6" eb="8">
      <t>ミコ</t>
    </rPh>
    <phoneticPr fontId="2"/>
  </si>
  <si>
    <t>補　　足</t>
    <rPh sb="0" eb="1">
      <t>ホ</t>
    </rPh>
    <rPh sb="3" eb="4">
      <t>アシ</t>
    </rPh>
    <phoneticPr fontId="2"/>
  </si>
  <si>
    <t>事務局による令和6年度予算のコメント</t>
    <rPh sb="0" eb="3">
      <t>ジムキョク</t>
    </rPh>
    <rPh sb="6" eb="8">
      <t>レイワ</t>
    </rPh>
    <rPh sb="9" eb="11">
      <t>ネンド</t>
    </rPh>
    <rPh sb="11" eb="13">
      <t>ヨサン</t>
    </rPh>
    <phoneticPr fontId="2"/>
  </si>
  <si>
    <t>前年実績と同じとする、会員数の増減を想定しない</t>
    <rPh sb="0" eb="2">
      <t>ゼンネン</t>
    </rPh>
    <rPh sb="2" eb="4">
      <t>ジッセキ</t>
    </rPh>
    <rPh sb="5" eb="6">
      <t>オナ</t>
    </rPh>
    <rPh sb="11" eb="14">
      <t>カイインスウ</t>
    </rPh>
    <rPh sb="15" eb="17">
      <t>ゾウゲン</t>
    </rPh>
    <rPh sb="18" eb="20">
      <t>ソウテイ</t>
    </rPh>
    <phoneticPr fontId="2"/>
  </si>
  <si>
    <t>会費を徴収するセミナーが増えた？</t>
    <rPh sb="0" eb="2">
      <t>カイヒ</t>
    </rPh>
    <rPh sb="3" eb="5">
      <t>チョウシュウ</t>
    </rPh>
    <rPh sb="12" eb="13">
      <t>フ</t>
    </rPh>
    <phoneticPr fontId="2"/>
  </si>
  <si>
    <t>予算額があっても実際使っていない。どうしたものか？</t>
    <rPh sb="0" eb="2">
      <t>ヨサン</t>
    </rPh>
    <rPh sb="2" eb="3">
      <t>ガク</t>
    </rPh>
    <rPh sb="8" eb="10">
      <t>ジッサイ</t>
    </rPh>
    <rPh sb="10" eb="11">
      <t>ツカ</t>
    </rPh>
    <phoneticPr fontId="2"/>
  </si>
  <si>
    <t>前年度実績を考慮して減額</t>
    <rPh sb="0" eb="3">
      <t>ゼンネンド</t>
    </rPh>
    <rPh sb="3" eb="5">
      <t>ジッセキ</t>
    </rPh>
    <rPh sb="6" eb="8">
      <t>コウリョ</t>
    </rPh>
    <rPh sb="10" eb="12">
      <t>ゲンガク</t>
    </rPh>
    <phoneticPr fontId="2"/>
  </si>
  <si>
    <t>当該期の末に銀行残高にどれだけ残るかの見込み金額</t>
    <rPh sb="0" eb="2">
      <t>トウガイ</t>
    </rPh>
    <rPh sb="2" eb="3">
      <t>キ</t>
    </rPh>
    <rPh sb="4" eb="5">
      <t>マツ</t>
    </rPh>
    <rPh sb="6" eb="10">
      <t>ギンコウザンダカ</t>
    </rPh>
    <rPh sb="15" eb="16">
      <t>ノコ</t>
    </rPh>
    <rPh sb="19" eb="21">
      <t>ミコ</t>
    </rPh>
    <rPh sb="22" eb="24">
      <t>キンガク</t>
    </rPh>
    <phoneticPr fontId="2"/>
  </si>
  <si>
    <t>銀行利息</t>
  </si>
  <si>
    <t>ロートニッテン</t>
  </si>
  <si>
    <t>中外製薬</t>
  </si>
  <si>
    <t>わかもと製薬</t>
  </si>
  <si>
    <t>石川県眼科医会へお見舞金</t>
  </si>
  <si>
    <t>全国眼科医会の会誌を整理するファイル等</t>
  </si>
  <si>
    <t>書類郵送</t>
  </si>
  <si>
    <t>書類をコンビニでスキャンしてPDF化</t>
  </si>
  <si>
    <t>ラベルシール用紙、封筒</t>
  </si>
  <si>
    <t>スキャン</t>
  </si>
  <si>
    <t>2月18日臨時総会のため浦山がJR利用　八戸・青森間</t>
  </si>
  <si>
    <t>2月18日臨時総会のため浦山がタクシー利用</t>
  </si>
  <si>
    <t>静岡県眼科医会へ会報７６を郵送</t>
  </si>
  <si>
    <t>青森県内市町村長へ要望書を郵送</t>
  </si>
  <si>
    <t>４７都道府県の会報を整理するためファイルボックス</t>
  </si>
  <si>
    <t>興和</t>
  </si>
  <si>
    <t>参天製薬</t>
  </si>
  <si>
    <t>会報７７広告料入金状況</t>
    <rPh sb="0" eb="2">
      <t>カイホウ</t>
    </rPh>
    <rPh sb="4" eb="7">
      <t>コウコクリョウ</t>
    </rPh>
    <rPh sb="7" eb="11">
      <t>ニュウキンジョウキョウ</t>
    </rPh>
    <phoneticPr fontId="2"/>
  </si>
  <si>
    <t>R4年度監査会青森市白樺　山崎仁志</t>
  </si>
  <si>
    <t>R4年度監査会青森市白樺　對馬敬子</t>
  </si>
  <si>
    <t>R4年度監査会青森市白樺　山上美情子</t>
  </si>
  <si>
    <t>R4年度監査会青森市白樺　三戸千賀子</t>
  </si>
  <si>
    <t>R4年度監査会青森市白樺　野田康子</t>
  </si>
  <si>
    <t>役員会費</t>
  </si>
  <si>
    <t>支出/会議費/役員会費</t>
  </si>
  <si>
    <t>総会費</t>
  </si>
  <si>
    <t>支出/会議費/総会費</t>
  </si>
  <si>
    <t>R5年度監査会青森市白樺　松橋英昭</t>
  </si>
  <si>
    <t>R5年度監査会青森市白樺　三戸千賀子</t>
  </si>
  <si>
    <t>R5年度監査会青森市白樺　野田康子</t>
  </si>
  <si>
    <t>令和５年3月15日の残高</t>
    <rPh sb="0" eb="2">
      <t>レイワ</t>
    </rPh>
    <rPh sb="3" eb="4">
      <t>ネン</t>
    </rPh>
    <rPh sb="5" eb="6">
      <t>ガツ</t>
    </rPh>
    <rPh sb="8" eb="9">
      <t>ニチ</t>
    </rPh>
    <rPh sb="10" eb="11">
      <t>ザン</t>
    </rPh>
    <rPh sb="11" eb="12">
      <t>ダカ</t>
    </rPh>
    <phoneticPr fontId="2"/>
  </si>
  <si>
    <t>期中における現預金の増減</t>
    <rPh sb="0" eb="2">
      <t>キチュウ</t>
    </rPh>
    <phoneticPr fontId="2"/>
  </si>
  <si>
    <t>年月日</t>
    <rPh sb="0" eb="3">
      <t>ネンガッピ</t>
    </rPh>
    <phoneticPr fontId="2"/>
  </si>
  <si>
    <t>収入科目</t>
    <rPh sb="0" eb="4">
      <t>シュウニュウカモク</t>
    </rPh>
    <phoneticPr fontId="2"/>
  </si>
  <si>
    <t>収入補助科目</t>
    <rPh sb="0" eb="6">
      <t>シュウニュウホジョカモク</t>
    </rPh>
    <phoneticPr fontId="2"/>
  </si>
  <si>
    <t>支出科目</t>
    <rPh sb="0" eb="4">
      <t>シシュツカモク</t>
    </rPh>
    <phoneticPr fontId="2"/>
  </si>
  <si>
    <t>支出補助科目</t>
    <rPh sb="0" eb="2">
      <t>シシュツ</t>
    </rPh>
    <rPh sb="2" eb="6">
      <t>ホジョカモク</t>
    </rPh>
    <phoneticPr fontId="2"/>
  </si>
  <si>
    <t>収支報告単位</t>
    <rPh sb="0" eb="4">
      <t>シュウシホウコク</t>
    </rPh>
    <rPh sb="4" eb="6">
      <t>タンイ</t>
    </rPh>
    <phoneticPr fontId="2"/>
  </si>
  <si>
    <t>摘要</t>
    <rPh sb="0" eb="2">
      <t>テキヨウ</t>
    </rPh>
    <phoneticPr fontId="2"/>
  </si>
  <si>
    <t>明細</t>
    <phoneticPr fontId="2"/>
  </si>
  <si>
    <t>担当者：　事務局　浦山和昭</t>
    <rPh sb="0" eb="2">
      <t>タントウ</t>
    </rPh>
    <rPh sb="2" eb="3">
      <t>シャ</t>
    </rPh>
    <rPh sb="5" eb="8">
      <t>ジムキョク</t>
    </rPh>
    <rPh sb="9" eb="13">
      <t>ウラヤマカズアキ</t>
    </rPh>
    <phoneticPr fontId="2"/>
  </si>
  <si>
    <t>期初繰越金＋今期の収入</t>
    <rPh sb="0" eb="2">
      <t>キショ</t>
    </rPh>
    <rPh sb="2" eb="4">
      <t>クリコシ</t>
    </rPh>
    <rPh sb="4" eb="5">
      <t>キン</t>
    </rPh>
    <rPh sb="6" eb="8">
      <t>コンキ</t>
    </rPh>
    <rPh sb="9" eb="11">
      <t>シュウニュウ</t>
    </rPh>
    <phoneticPr fontId="2"/>
  </si>
  <si>
    <t>期内の支出明細を合計した金額</t>
    <rPh sb="0" eb="2">
      <t>キナイ</t>
    </rPh>
    <rPh sb="3" eb="5">
      <t>シシュツ</t>
    </rPh>
    <rPh sb="5" eb="7">
      <t>メイサイ</t>
    </rPh>
    <rPh sb="8" eb="10">
      <t>ゴウケイ</t>
    </rPh>
    <rPh sb="12" eb="14">
      <t>キンガク</t>
    </rPh>
    <phoneticPr fontId="2"/>
  </si>
  <si>
    <t>期初繰越金と期内の収入明細を合計した金額を合計</t>
    <rPh sb="0" eb="2">
      <t>キショ</t>
    </rPh>
    <rPh sb="2" eb="5">
      <t>クリコシキン</t>
    </rPh>
    <rPh sb="6" eb="8">
      <t>キナイ</t>
    </rPh>
    <rPh sb="9" eb="11">
      <t>シュウニュウ</t>
    </rPh>
    <rPh sb="11" eb="13">
      <t>メイサイ</t>
    </rPh>
    <rPh sb="14" eb="16">
      <t>ゴウケイ</t>
    </rPh>
    <rPh sb="18" eb="20">
      <t>キンガク</t>
    </rPh>
    <rPh sb="21" eb="23">
      <t>ゴウケイ</t>
    </rPh>
    <phoneticPr fontId="2"/>
  </si>
  <si>
    <t>１．東北ﾌﾞﾛｯｸ負担金</t>
  </si>
  <si>
    <t>実績なし</t>
    <rPh sb="0" eb="2">
      <t>ジッセキ</t>
    </rPh>
    <phoneticPr fontId="2"/>
  </si>
  <si>
    <t>Web開催が増えた。リアル会場での開催は１回</t>
    <rPh sb="3" eb="5">
      <t>カイサイ</t>
    </rPh>
    <rPh sb="6" eb="7">
      <t>フ</t>
    </rPh>
    <rPh sb="13" eb="15">
      <t>カイジョウ</t>
    </rPh>
    <rPh sb="17" eb="19">
      <t>カイサイ</t>
    </rPh>
    <phoneticPr fontId="2"/>
  </si>
  <si>
    <t>予算上は5,500×90名を見込んだが請求されず実績なし。</t>
    <rPh sb="0" eb="3">
      <t>ヨサンジョウ</t>
    </rPh>
    <rPh sb="12" eb="13">
      <t>メイ</t>
    </rPh>
    <rPh sb="14" eb="16">
      <t>ミコ</t>
    </rPh>
    <rPh sb="19" eb="21">
      <t>セイキュウ</t>
    </rPh>
    <rPh sb="24" eb="26">
      <t>ジッセキ</t>
    </rPh>
    <phoneticPr fontId="2"/>
  </si>
  <si>
    <t>第3回役員会　ホテル青森(ｺｸｻｲｺｳｷﾞｮｳ)</t>
  </si>
  <si>
    <t>臨時総会・社保研究会　ホテル青森(ｺｸｻｲｺｳｷﾞｮｳ)</t>
  </si>
  <si>
    <t>R5年度監査会　2024年3月23日　青森市　みついし</t>
  </si>
  <si>
    <t>資料をスキャンしてPDFに</t>
  </si>
  <si>
    <t>3月23日監査会　浦山　JR</t>
  </si>
  <si>
    <t>3月23日監査会　浦山　ﾀｸｼｰ</t>
  </si>
  <si>
    <t>2024年3月31日現在の銀行預金の残高</t>
    <rPh sb="4" eb="5">
      <t>ネン</t>
    </rPh>
    <rPh sb="6" eb="7">
      <t>ガツ</t>
    </rPh>
    <rPh sb="9" eb="10">
      <t>ニチ</t>
    </rPh>
    <rPh sb="10" eb="12">
      <t>ゲンザイ</t>
    </rPh>
    <rPh sb="13" eb="17">
      <t>ギンコウヨキン</t>
    </rPh>
    <rPh sb="18" eb="20">
      <t>ザンダカ</t>
    </rPh>
    <phoneticPr fontId="2"/>
  </si>
  <si>
    <t>収支明細合計と預金残高との差</t>
    <rPh sb="0" eb="2">
      <t>シュウシ</t>
    </rPh>
    <rPh sb="2" eb="4">
      <t>メイサイ</t>
    </rPh>
    <rPh sb="4" eb="6">
      <t>ゴウケイ</t>
    </rPh>
    <rPh sb="7" eb="11">
      <t>ヨキンザンダカ</t>
    </rPh>
    <rPh sb="13" eb="14">
      <t>サ</t>
    </rPh>
    <phoneticPr fontId="2"/>
  </si>
  <si>
    <t xml:space="preserve">作成日：　2024年3月31日    </t>
    <rPh sb="0" eb="3">
      <t>サクセイビ</t>
    </rPh>
    <rPh sb="9" eb="10">
      <t>ネン</t>
    </rPh>
    <rPh sb="11" eb="12">
      <t>ガツ</t>
    </rPh>
    <rPh sb="14" eb="15">
      <t>ニチ</t>
    </rPh>
    <phoneticPr fontId="2"/>
  </si>
  <si>
    <t>令和5年度 青森県眼科医会 収支決算</t>
    <rPh sb="0" eb="2">
      <t>レイワ</t>
    </rPh>
    <rPh sb="14" eb="16">
      <t>シュウシ</t>
    </rPh>
    <rPh sb="16" eb="18">
      <t>ケッサン</t>
    </rPh>
    <phoneticPr fontId="3"/>
  </si>
  <si>
    <t>R5年度予算</t>
    <phoneticPr fontId="2"/>
  </si>
  <si>
    <t>会報を年2回各40万円</t>
    <rPh sb="0" eb="2">
      <t>カイホウ</t>
    </rPh>
    <rPh sb="3" eb="4">
      <t>ネン</t>
    </rPh>
    <rPh sb="6" eb="7">
      <t>カク</t>
    </rPh>
    <rPh sb="9" eb="11">
      <t>マンエン</t>
    </rPh>
    <phoneticPr fontId="2"/>
  </si>
  <si>
    <t>決算算出ワークブック_令和5年度.xlsm</t>
  </si>
  <si>
    <t>モジュール</t>
  </si>
  <si>
    <t>スコープ</t>
  </si>
  <si>
    <t>種別</t>
  </si>
  <si>
    <t>行位置</t>
  </si>
  <si>
    <t>ソース</t>
  </si>
  <si>
    <t>コメント</t>
  </si>
  <si>
    <t>決算書作成</t>
  </si>
  <si>
    <t>Public</t>
  </si>
  <si>
    <t>Sub</t>
  </si>
  <si>
    <t>Public Sub 決算書作成()</t>
  </si>
  <si>
    <t>'==============================================================================</t>
  </si>
  <si>
    <t>プロシージャー一覧を作る</t>
  </si>
  <si>
    <t>Public Sub プロシージャー一覧を作る()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</si>
</sst>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1]gggee&quot;年&quot;m&quot;月&quot;d&quot;日&quot;"/>
    <numFmt numFmtId="165" formatCode="#,##0_);[Red]\(#,##0\)"/>
    <numFmt numFmtId="166" formatCode="#,##0;&quot;△ &quot;#,##0"/>
    <numFmt numFmtId="167" formatCode="#,###"/>
  </numFmts>
  <fonts count="36">
    <font>
      <sz val="11"/>
      <name val="ＭＳ Ｐゴシック"/>
      <family val="3"/>
      <charset val="128"/>
    </font>
    <font>
      <sz val="14"/>
      <name val="ＭＳ 明朝"/>
      <family val="1"/>
      <charset val="128"/>
    </font>
    <font>
      <sz val="6"/>
      <name val="ＭＳ Ｐゴシック"/>
      <family val="3"/>
      <charset val="128"/>
    </font>
    <font>
      <sz val="7"/>
      <name val="ＭＳ Ｐゴシック"/>
      <family val="3"/>
      <charset val="128"/>
    </font>
    <font>
      <sz val="10"/>
      <name val="ＭＳ 明朝"/>
      <family val="1"/>
      <charset val="128"/>
    </font>
    <font>
      <b/>
      <sz val="10"/>
      <name val="ＭＳ 明朝"/>
      <family val="1"/>
      <charset val="128"/>
    </font>
    <font>
      <sz val="11"/>
      <name val="ＭＳ 明朝"/>
      <family val="1"/>
      <charset val="128"/>
    </font>
    <font>
      <b/>
      <sz val="11"/>
      <name val="ＭＳ 明朝"/>
      <family val="1"/>
      <charset val="128"/>
    </font>
    <font>
      <sz val="9"/>
      <name val="ＭＳ 明朝"/>
      <family val="1"/>
      <charset val="128"/>
    </font>
    <font>
      <sz val="7"/>
      <name val="Terminal"/>
      <family val="3"/>
      <charset val="255"/>
    </font>
    <font>
      <sz val="6"/>
      <name val="ＭＳ Ｐ明朝"/>
      <family val="1"/>
      <charset val="128"/>
    </font>
    <font>
      <sz val="11"/>
      <color rgb="FF00B050"/>
      <name val="ＭＳ 明朝"/>
      <family val="1"/>
      <charset val="128"/>
    </font>
    <font>
      <sz val="11"/>
      <color rgb="FFFF0000"/>
      <name val="ＭＳ 明朝"/>
      <family val="1"/>
      <charset val="128"/>
    </font>
    <font>
      <sz val="11"/>
      <color rgb="FF000000"/>
      <name val="ＭＳ Ｐゴシック"/>
      <family val="3"/>
      <charset val="128"/>
    </font>
    <font>
      <b/>
      <sz val="13"/>
      <color theme="3"/>
      <name val="Calibri"/>
      <family val="2"/>
      <charset val="128"/>
      <scheme val="minor"/>
    </font>
    <font>
      <sz val="11"/>
      <name val="Calibri"/>
      <family val="3"/>
      <charset val="128"/>
      <scheme val="minor"/>
    </font>
    <font>
      <sz val="10"/>
      <color theme="1"/>
      <name val="Meiryo UI"/>
      <family val="2"/>
      <charset val="128"/>
    </font>
    <font>
      <sz val="11"/>
      <name val="ＭＳ Ｐゴシック"/>
      <family val="3"/>
      <charset val="128"/>
    </font>
    <font>
      <sz val="11"/>
      <name val="ＭＳ Ｐ明朝"/>
      <family val="1"/>
      <charset val="128"/>
    </font>
    <font>
      <sz val="11"/>
      <color rgb="FFFF0000"/>
      <name val="ＭＳ Ｐ明朝"/>
      <family val="1"/>
      <charset val="128"/>
    </font>
    <font>
      <sz val="14"/>
      <name val="ＭＳ Ｐ明朝"/>
      <family val="1"/>
      <charset val="128"/>
    </font>
    <font>
      <b/>
      <sz val="11"/>
      <name val="ＭＳ Ｐ明朝"/>
      <family val="1"/>
      <charset val="128"/>
    </font>
    <font>
      <sz val="10"/>
      <name val="ＭＳ Ｐ明朝"/>
      <family val="1"/>
      <charset val="128"/>
    </font>
    <font>
      <sz val="10.5"/>
      <name val="ＭＳ Ｐ明朝"/>
      <family val="1"/>
      <charset val="128"/>
    </font>
    <font>
      <sz val="11"/>
      <color theme="0" tint="-0.34998626667073579"/>
      <name val="ＭＳ Ｐ明朝"/>
      <family val="1"/>
      <charset val="128"/>
    </font>
    <font>
      <b/>
      <sz val="11"/>
      <color theme="0" tint="-0.34998626667073579"/>
      <name val="ＭＳ Ｐ明朝"/>
      <family val="1"/>
      <charset val="128"/>
    </font>
    <font>
      <sz val="11"/>
      <color theme="0" tint="-0.34998626667073579"/>
      <name val="ＭＳ 明朝"/>
      <family val="1"/>
      <charset val="128"/>
    </font>
    <font>
      <sz val="11"/>
      <color theme="0" tint="-0.34998626667073579"/>
      <name val="ＭＳ Ｐゴシック"/>
      <family val="3"/>
      <charset val="128"/>
    </font>
    <font>
      <sz val="11"/>
      <color theme="1"/>
      <name val="ＭＳ Ｐゴシック"/>
      <family val="3"/>
      <charset val="128"/>
    </font>
    <font>
      <sz val="10"/>
      <name val="UD デジタル 教科書体 N-R"/>
      <family val="1"/>
      <charset val="128"/>
    </font>
    <font>
      <b/>
      <sz val="14"/>
      <name val="UD デジタル 教科書体 N-R"/>
      <family val="1"/>
      <charset val="128"/>
    </font>
    <font>
      <sz val="12"/>
      <name val="UD デジタル 教科書体 N-R"/>
      <family val="1"/>
      <charset val="128"/>
    </font>
    <font>
      <sz val="10"/>
      <color rgb="FFFF0000"/>
      <name val="UD デジタル 教科書体 N-R"/>
      <family val="1"/>
      <charset val="128"/>
    </font>
    <font>
      <b/>
      <sz val="12"/>
      <name val="UD デジタル 教科書体 N-R"/>
      <family val="1"/>
      <charset val="128"/>
    </font>
    <font>
      <sz val="12"/>
      <color rgb="FFFF0000"/>
      <name val="UD デジタル 教科書体 N-R"/>
      <family val="1"/>
      <charset val="128"/>
    </font>
    <font>
      <u/>
      <sz val="16"/>
      <name val="UD デジタル 教科書体 N-R"/>
      <family val="1"/>
      <charset val="128"/>
    </font>
  </fonts>
  <fills count="5">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rgb="FFC8C8C8"/>
        <bgColor indexed="64"/>
      </patternFill>
    </fill>
  </fills>
  <borders count="52">
    <border>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top/>
      <bottom style="thin">
        <color indexed="64"/>
      </bottom>
      <diagonal/>
    </border>
    <border>
      <left/>
      <right/>
      <top/>
      <bottom style="thin">
        <color indexed="64"/>
      </bottom>
      <diagonal/>
    </border>
    <border>
      <left style="hair">
        <color indexed="64"/>
      </left>
      <right style="hair">
        <color indexed="64"/>
      </right>
      <top/>
      <bottom style="hair">
        <color indexed="64"/>
      </bottom>
      <diagonal/>
    </border>
    <border>
      <left/>
      <right style="hair">
        <color indexed="64"/>
      </right>
      <top style="thin">
        <color indexed="64"/>
      </top>
      <bottom style="hair">
        <color indexed="64"/>
      </bottom>
      <diagonal/>
    </border>
    <border>
      <left/>
      <right style="thin">
        <color indexed="64"/>
      </right>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thin">
        <color indexed="64"/>
      </right>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style="thin">
        <color rgb="FFCC3300"/>
      </left>
      <right style="thin">
        <color rgb="FFCC3300"/>
      </right>
      <top style="thin">
        <color theme="4" tint="0.39997558519241921"/>
      </top>
      <bottom style="thin">
        <color theme="4" tint="0.39997558519241921"/>
      </bottom>
      <diagonal/>
    </border>
    <border>
      <left/>
      <right style="thin">
        <color indexed="64"/>
      </right>
      <top style="hair">
        <color indexed="64"/>
      </top>
      <bottom style="double">
        <color indexed="64"/>
      </bottom>
      <diagonal/>
    </border>
    <border>
      <left style="hair">
        <color indexed="64"/>
      </left>
      <right style="hair">
        <color indexed="64"/>
      </right>
      <top style="double">
        <color indexed="64"/>
      </top>
      <bottom style="thin">
        <color indexed="64"/>
      </bottom>
      <diagonal/>
    </border>
    <border>
      <left style="hair">
        <color indexed="64"/>
      </left>
      <right/>
      <top/>
      <bottom style="double">
        <color indexed="64"/>
      </bottom>
      <diagonal/>
    </border>
    <border>
      <left style="hair">
        <color indexed="64"/>
      </left>
      <right/>
      <top style="double">
        <color indexed="64"/>
      </top>
      <bottom style="thin">
        <color indexed="64"/>
      </bottom>
      <diagonal/>
    </border>
    <border>
      <left/>
      <right/>
      <top style="double">
        <color indexed="64"/>
      </top>
      <bottom style="thin">
        <color indexed="64"/>
      </bottom>
      <diagonal/>
    </border>
    <border>
      <left/>
      <right/>
      <top style="thin">
        <color theme="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style="thin">
        <color theme="4"/>
      </top>
      <bottom/>
      <diagonal/>
    </border>
    <border>
      <left style="medium">
        <color indexed="64"/>
      </left>
      <right/>
      <top/>
      <bottom style="medium">
        <color indexed="64"/>
      </bottom>
      <diagonal/>
    </border>
    <border>
      <left/>
      <right/>
      <top style="thin">
        <color theme="4"/>
      </top>
      <bottom style="medium">
        <color indexed="64"/>
      </bottom>
      <diagonal/>
    </border>
    <border>
      <left/>
      <right style="medium">
        <color indexed="64"/>
      </right>
      <top style="thin">
        <color theme="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
    <xf numFmtId="0" fontId="0" fillId="0" borderId="0">
      <alignment vertical="center"/>
    </xf>
    <xf numFmtId="0" fontId="14" fillId="0" borderId="33" applyNumberFormat="0" applyFill="0" applyAlignment="0" applyProtection="0"/>
    <xf numFmtId="0" fontId="16" fillId="0" borderId="0">
      <alignment vertical="center"/>
    </xf>
    <xf numFmtId="38" fontId="17" fillId="0" borderId="0" applyFont="0" applyFill="0" applyBorder="0" applyAlignment="0" applyProtection="0">
      <alignment vertical="center"/>
    </xf>
  </cellStyleXfs>
  <cellXfs count="192">
    <xf numFmtId="0" fontId="0" fillId="0" borderId="0" xfId="0">
      <alignment vertical="center"/>
    </xf>
    <xf numFmtId="0" fontId="1" fillId="0" borderId="0" xfId="0" applyFont="1">
      <alignment vertical="center"/>
    </xf>
    <xf numFmtId="0" fontId="1" fillId="0" borderId="0" xfId="0" applyFont="1" applyProtection="1">
      <alignment vertical="center"/>
      <protection locked="0"/>
    </xf>
    <xf numFmtId="0" fontId="4" fillId="0" borderId="0" xfId="0" applyFont="1">
      <alignment vertical="center"/>
    </xf>
    <xf numFmtId="0" fontId="6" fillId="0" borderId="0" xfId="0" applyFont="1">
      <alignment vertical="center"/>
    </xf>
    <xf numFmtId="0" fontId="6" fillId="0" borderId="0" xfId="0" applyFont="1" applyProtection="1">
      <alignment vertical="center"/>
      <protection locked="0"/>
    </xf>
    <xf numFmtId="0" fontId="6" fillId="0" borderId="0" xfId="0" applyFont="1" applyAlignment="1">
      <alignment horizontal="left"/>
    </xf>
    <xf numFmtId="3" fontId="6" fillId="0" borderId="0" xfId="0" applyNumberFormat="1" applyFont="1">
      <alignment vertical="center"/>
    </xf>
    <xf numFmtId="3" fontId="6" fillId="0" borderId="0" xfId="0" applyNumberFormat="1" applyFont="1" applyProtection="1">
      <alignment vertical="center"/>
      <protection locked="0"/>
    </xf>
    <xf numFmtId="165" fontId="6" fillId="0" borderId="0" xfId="0" applyNumberFormat="1" applyFont="1" applyProtection="1">
      <alignment vertical="center"/>
      <protection locked="0"/>
    </xf>
    <xf numFmtId="165" fontId="6" fillId="0" borderId="0" xfId="0" applyNumberFormat="1" applyFont="1">
      <alignment vertical="center"/>
    </xf>
    <xf numFmtId="165" fontId="4" fillId="0" borderId="0" xfId="0" applyNumberFormat="1" applyFont="1">
      <alignment vertical="center"/>
    </xf>
    <xf numFmtId="0" fontId="11" fillId="0" borderId="0" xfId="0" applyFont="1" applyProtection="1">
      <alignment vertical="center"/>
      <protection locked="0"/>
    </xf>
    <xf numFmtId="0" fontId="12" fillId="0" borderId="0" xfId="0" applyFont="1" applyProtection="1">
      <alignment vertical="center"/>
      <protection locked="0"/>
    </xf>
    <xf numFmtId="3" fontId="12" fillId="0" borderId="0" xfId="0" applyNumberFormat="1" applyFont="1" applyProtection="1">
      <alignment vertical="center"/>
      <protection locked="0"/>
    </xf>
    <xf numFmtId="0" fontId="12" fillId="0" borderId="0" xfId="0" applyFont="1">
      <alignment vertical="center"/>
    </xf>
    <xf numFmtId="0" fontId="0" fillId="2" borderId="0" xfId="0" applyFill="1">
      <alignment vertical="center"/>
    </xf>
    <xf numFmtId="3" fontId="7" fillId="0" borderId="8" xfId="0" applyNumberFormat="1" applyFont="1" applyBorder="1" applyProtection="1">
      <alignment vertical="center"/>
      <protection locked="0"/>
    </xf>
    <xf numFmtId="3" fontId="0" fillId="0" borderId="0" xfId="0" applyNumberFormat="1">
      <alignment vertical="center"/>
    </xf>
    <xf numFmtId="0" fontId="0" fillId="0" borderId="22" xfId="0" applyBorder="1">
      <alignment vertical="center"/>
    </xf>
    <xf numFmtId="0" fontId="0" fillId="0" borderId="22" xfId="0" applyBorder="1" applyAlignment="1">
      <alignment vertical="center" wrapText="1"/>
    </xf>
    <xf numFmtId="0" fontId="0" fillId="0" borderId="22" xfId="0" quotePrefix="1" applyBorder="1">
      <alignment vertical="center"/>
    </xf>
    <xf numFmtId="3" fontId="0" fillId="0" borderId="22" xfId="0" applyNumberFormat="1" applyBorder="1">
      <alignment vertical="center"/>
    </xf>
    <xf numFmtId="3" fontId="0" fillId="0" borderId="22" xfId="0" quotePrefix="1" applyNumberFormat="1" applyBorder="1">
      <alignment vertical="center"/>
    </xf>
    <xf numFmtId="0" fontId="0" fillId="0" borderId="0" xfId="0" quotePrefix="1">
      <alignment vertical="center"/>
    </xf>
    <xf numFmtId="3" fontId="7" fillId="0" borderId="0" xfId="0" applyNumberFormat="1" applyFont="1" applyProtection="1">
      <alignment vertical="center"/>
      <protection locked="0"/>
    </xf>
    <xf numFmtId="166" fontId="7" fillId="0" borderId="0" xfId="0" applyNumberFormat="1" applyFont="1" applyProtection="1">
      <alignment vertical="center"/>
      <protection locked="0"/>
    </xf>
    <xf numFmtId="14" fontId="0" fillId="0" borderId="0" xfId="0" applyNumberFormat="1">
      <alignment vertical="center"/>
    </xf>
    <xf numFmtId="0" fontId="14" fillId="0" borderId="33" xfId="1" applyAlignment="1">
      <alignment vertical="center"/>
    </xf>
    <xf numFmtId="167" fontId="0" fillId="0" borderId="0" xfId="0" applyNumberFormat="1">
      <alignment vertical="center"/>
    </xf>
    <xf numFmtId="3" fontId="15" fillId="0" borderId="34" xfId="0" applyNumberFormat="1" applyFont="1" applyBorder="1">
      <alignment vertical="center"/>
    </xf>
    <xf numFmtId="0" fontId="18" fillId="0" borderId="0" xfId="0" applyFont="1">
      <alignment vertical="center"/>
    </xf>
    <xf numFmtId="0" fontId="19" fillId="0" borderId="0" xfId="0" applyFont="1" applyProtection="1">
      <alignment vertical="center"/>
      <protection locked="0"/>
    </xf>
    <xf numFmtId="0" fontId="20" fillId="0" borderId="0" xfId="0" applyFont="1" applyProtection="1">
      <alignment vertical="center"/>
      <protection locked="0"/>
    </xf>
    <xf numFmtId="0" fontId="18" fillId="0" borderId="0" xfId="0" applyFont="1" applyProtection="1">
      <alignment vertical="center"/>
      <protection locked="0"/>
    </xf>
    <xf numFmtId="0" fontId="21" fillId="0" borderId="0" xfId="0" applyFont="1" applyProtection="1">
      <alignment vertical="center"/>
      <protection locked="0"/>
    </xf>
    <xf numFmtId="164" fontId="18" fillId="0" borderId="0" xfId="0" applyNumberFormat="1" applyFont="1" applyProtection="1">
      <alignment vertical="center"/>
      <protection locked="0"/>
    </xf>
    <xf numFmtId="0" fontId="18" fillId="0" borderId="1" xfId="0" applyFont="1" applyBorder="1" applyProtection="1">
      <alignment vertical="center"/>
      <protection locked="0"/>
    </xf>
    <xf numFmtId="0" fontId="18" fillId="0" borderId="13" xfId="0" applyFont="1" applyBorder="1" applyProtection="1">
      <alignment vertical="center"/>
      <protection locked="0"/>
    </xf>
    <xf numFmtId="0" fontId="18" fillId="0" borderId="18" xfId="0" applyFont="1" applyBorder="1" applyAlignment="1" applyProtection="1">
      <alignment horizontal="center" vertical="center"/>
      <protection locked="0"/>
    </xf>
    <xf numFmtId="0" fontId="21" fillId="0" borderId="18" xfId="0" applyFont="1" applyBorder="1" applyAlignment="1" applyProtection="1">
      <alignment horizontal="center" vertical="center"/>
      <protection locked="0"/>
    </xf>
    <xf numFmtId="0" fontId="18" fillId="0" borderId="20" xfId="0" applyFont="1" applyBorder="1" applyAlignment="1" applyProtection="1">
      <alignment horizontal="center" vertical="center"/>
      <protection locked="0"/>
    </xf>
    <xf numFmtId="0" fontId="18" fillId="0" borderId="3" xfId="0" applyFont="1" applyBorder="1" applyProtection="1">
      <alignment vertical="center"/>
      <protection locked="0"/>
    </xf>
    <xf numFmtId="0" fontId="18" fillId="0" borderId="4" xfId="0" applyFont="1" applyBorder="1" applyProtection="1">
      <alignment vertical="center"/>
      <protection locked="0"/>
    </xf>
    <xf numFmtId="3" fontId="21" fillId="0" borderId="5" xfId="0" applyNumberFormat="1" applyFont="1" applyBorder="1">
      <alignment vertical="center"/>
    </xf>
    <xf numFmtId="166" fontId="21" fillId="0" borderId="5" xfId="0" applyNumberFormat="1" applyFont="1" applyBorder="1" applyAlignment="1">
      <alignment horizontal="right" vertical="center"/>
    </xf>
    <xf numFmtId="165" fontId="18" fillId="0" borderId="16" xfId="0" applyNumberFormat="1" applyFont="1" applyBorder="1" applyAlignment="1" applyProtection="1">
      <alignment vertical="center" wrapText="1"/>
      <protection locked="0"/>
    </xf>
    <xf numFmtId="0" fontId="18" fillId="0" borderId="5" xfId="0" applyFont="1" applyBorder="1" applyProtection="1">
      <alignment vertical="center"/>
      <protection locked="0"/>
    </xf>
    <xf numFmtId="3" fontId="18" fillId="0" borderId="5" xfId="0" applyNumberFormat="1" applyFont="1" applyBorder="1">
      <alignment vertical="center"/>
    </xf>
    <xf numFmtId="166" fontId="18" fillId="0" borderId="5" xfId="0" applyNumberFormat="1" applyFont="1" applyBorder="1" applyAlignment="1">
      <alignment horizontal="right" vertical="center"/>
    </xf>
    <xf numFmtId="165" fontId="18" fillId="0" borderId="6" xfId="0" applyNumberFormat="1" applyFont="1" applyBorder="1" applyAlignment="1" applyProtection="1">
      <alignment vertical="center" wrapText="1"/>
      <protection locked="0"/>
    </xf>
    <xf numFmtId="0" fontId="18" fillId="0" borderId="9" xfId="0" applyFont="1" applyBorder="1" applyProtection="1">
      <alignment vertical="center"/>
      <protection locked="0"/>
    </xf>
    <xf numFmtId="0" fontId="19" fillId="0" borderId="3" xfId="0" applyFont="1" applyBorder="1" applyProtection="1">
      <alignment vertical="center"/>
      <protection locked="0"/>
    </xf>
    <xf numFmtId="0" fontId="18" fillId="0" borderId="14" xfId="0" applyFont="1" applyBorder="1" applyProtection="1">
      <alignment vertical="center"/>
      <protection locked="0"/>
    </xf>
    <xf numFmtId="0" fontId="18" fillId="0" borderId="6" xfId="0" applyFont="1" applyBorder="1" applyProtection="1">
      <alignment vertical="center"/>
      <protection locked="0"/>
    </xf>
    <xf numFmtId="166" fontId="18" fillId="0" borderId="5" xfId="0" applyNumberFormat="1" applyFont="1" applyBorder="1" applyAlignment="1" applyProtection="1">
      <alignment horizontal="right" vertical="center"/>
      <protection locked="0"/>
    </xf>
    <xf numFmtId="0" fontId="22" fillId="0" borderId="6" xfId="0" applyFont="1" applyBorder="1" applyProtection="1">
      <alignment vertical="center"/>
      <protection locked="0"/>
    </xf>
    <xf numFmtId="0" fontId="18" fillId="0" borderId="7" xfId="0" applyFont="1" applyBorder="1" applyProtection="1">
      <alignment vertical="center"/>
      <protection locked="0"/>
    </xf>
    <xf numFmtId="0" fontId="18" fillId="0" borderId="15" xfId="0" applyFont="1" applyBorder="1" applyProtection="1">
      <alignment vertical="center"/>
      <protection locked="0"/>
    </xf>
    <xf numFmtId="0" fontId="18" fillId="0" borderId="6" xfId="0" applyFont="1" applyBorder="1" applyAlignment="1" applyProtection="1">
      <alignment vertical="center" wrapText="1"/>
      <protection locked="0"/>
    </xf>
    <xf numFmtId="0" fontId="18" fillId="0" borderId="16" xfId="0" applyFont="1" applyBorder="1" applyProtection="1">
      <alignment vertical="center"/>
      <protection locked="0"/>
    </xf>
    <xf numFmtId="0" fontId="18" fillId="0" borderId="28" xfId="0" applyFont="1" applyBorder="1" applyProtection="1">
      <alignment vertical="center"/>
      <protection locked="0"/>
    </xf>
    <xf numFmtId="166" fontId="18" fillId="0" borderId="28" xfId="0" applyNumberFormat="1" applyFont="1" applyBorder="1" applyAlignment="1">
      <alignment horizontal="right" vertical="center"/>
    </xf>
    <xf numFmtId="0" fontId="18" fillId="0" borderId="29" xfId="0" applyFont="1" applyBorder="1" applyProtection="1">
      <alignment vertical="center"/>
      <protection locked="0"/>
    </xf>
    <xf numFmtId="0" fontId="18" fillId="0" borderId="10" xfId="0" applyFont="1" applyBorder="1" applyProtection="1">
      <alignment vertical="center"/>
      <protection locked="0"/>
    </xf>
    <xf numFmtId="0" fontId="18" fillId="0" borderId="11" xfId="0" applyFont="1" applyBorder="1" applyProtection="1">
      <alignment vertical="center"/>
      <protection locked="0"/>
    </xf>
    <xf numFmtId="0" fontId="18" fillId="0" borderId="24" xfId="0" applyFont="1" applyBorder="1" applyProtection="1">
      <alignment vertical="center"/>
      <protection locked="0"/>
    </xf>
    <xf numFmtId="0" fontId="18" fillId="0" borderId="2" xfId="0" applyFont="1" applyBorder="1" applyProtection="1">
      <alignment vertical="center"/>
      <protection locked="0"/>
    </xf>
    <xf numFmtId="0" fontId="18" fillId="0" borderId="19" xfId="0" applyFont="1" applyBorder="1" applyAlignment="1" applyProtection="1">
      <alignment horizontal="center" vertical="center"/>
      <protection locked="0"/>
    </xf>
    <xf numFmtId="0" fontId="18" fillId="0" borderId="8" xfId="0" applyFont="1" applyBorder="1" applyProtection="1">
      <alignment vertical="center"/>
      <protection locked="0"/>
    </xf>
    <xf numFmtId="0" fontId="18" fillId="0" borderId="21" xfId="0" applyFont="1" applyBorder="1" applyAlignment="1" applyProtection="1">
      <alignment vertical="center" wrapText="1"/>
      <protection locked="0"/>
    </xf>
    <xf numFmtId="0" fontId="23" fillId="0" borderId="21" xfId="0" applyFont="1" applyBorder="1" applyProtection="1">
      <alignment vertical="center"/>
      <protection locked="0"/>
    </xf>
    <xf numFmtId="0" fontId="23" fillId="0" borderId="5" xfId="0" applyFont="1" applyBorder="1" applyProtection="1">
      <alignment vertical="center"/>
      <protection locked="0"/>
    </xf>
    <xf numFmtId="166" fontId="18" fillId="0" borderId="28" xfId="0" applyNumberFormat="1" applyFont="1" applyBorder="1" applyAlignment="1" applyProtection="1">
      <alignment horizontal="right" vertical="center"/>
      <protection locked="0"/>
    </xf>
    <xf numFmtId="0" fontId="18" fillId="0" borderId="35" xfId="0" applyFont="1" applyBorder="1" applyProtection="1">
      <alignment vertical="center"/>
      <protection locked="0"/>
    </xf>
    <xf numFmtId="0" fontId="18" fillId="0" borderId="17" xfId="0" applyFont="1" applyBorder="1" applyProtection="1">
      <alignment vertical="center"/>
      <protection locked="0"/>
    </xf>
    <xf numFmtId="3" fontId="25" fillId="0" borderId="5" xfId="0" applyNumberFormat="1" applyFont="1" applyBorder="1">
      <alignment vertical="center"/>
    </xf>
    <xf numFmtId="3" fontId="24" fillId="0" borderId="5" xfId="0" applyNumberFormat="1" applyFont="1" applyBorder="1">
      <alignment vertical="center"/>
    </xf>
    <xf numFmtId="3" fontId="24" fillId="0" borderId="28" xfId="0" applyNumberFormat="1" applyFont="1" applyBorder="1">
      <alignment vertical="center"/>
    </xf>
    <xf numFmtId="3" fontId="24" fillId="0" borderId="23" xfId="0" applyNumberFormat="1" applyFont="1" applyBorder="1">
      <alignment vertical="center"/>
    </xf>
    <xf numFmtId="166" fontId="21" fillId="0" borderId="36" xfId="0" applyNumberFormat="1" applyFont="1" applyBorder="1" applyAlignment="1">
      <alignment horizontal="right" vertical="center"/>
    </xf>
    <xf numFmtId="0" fontId="18" fillId="0" borderId="12" xfId="0" applyFont="1" applyBorder="1" applyAlignment="1" applyProtection="1">
      <alignment horizontal="center" vertical="center"/>
      <protection locked="0"/>
    </xf>
    <xf numFmtId="0" fontId="18" fillId="0" borderId="31" xfId="0" applyFont="1" applyBorder="1">
      <alignment vertical="center"/>
    </xf>
    <xf numFmtId="0" fontId="18" fillId="0" borderId="31" xfId="0" applyFont="1" applyBorder="1" applyProtection="1">
      <alignment vertical="center"/>
      <protection locked="0"/>
    </xf>
    <xf numFmtId="38" fontId="18" fillId="0" borderId="0" xfId="3" applyFont="1">
      <alignment vertical="center"/>
    </xf>
    <xf numFmtId="38" fontId="21" fillId="0" borderId="0" xfId="3" applyFont="1">
      <alignment vertical="center"/>
    </xf>
    <xf numFmtId="38" fontId="18" fillId="0" borderId="26" xfId="3" applyFont="1" applyBorder="1">
      <alignment vertical="center"/>
    </xf>
    <xf numFmtId="38" fontId="18" fillId="0" borderId="11" xfId="3" applyFont="1" applyBorder="1">
      <alignment vertical="center"/>
    </xf>
    <xf numFmtId="0" fontId="18" fillId="0" borderId="0" xfId="0" applyFont="1" applyAlignment="1">
      <alignment horizontal="center" vertical="center"/>
    </xf>
    <xf numFmtId="166" fontId="21" fillId="0" borderId="5" xfId="0" applyNumberFormat="1" applyFont="1" applyBorder="1" applyAlignment="1" applyProtection="1">
      <alignment horizontal="right" vertical="center"/>
      <protection locked="0"/>
    </xf>
    <xf numFmtId="38" fontId="18" fillId="0" borderId="5" xfId="3" applyFont="1" applyBorder="1">
      <alignment vertical="center"/>
    </xf>
    <xf numFmtId="38" fontId="18" fillId="0" borderId="28" xfId="3" applyFont="1" applyBorder="1">
      <alignment vertical="center"/>
    </xf>
    <xf numFmtId="38" fontId="18" fillId="0" borderId="23" xfId="3" applyFont="1" applyBorder="1" applyProtection="1">
      <alignment vertical="center"/>
      <protection locked="0"/>
    </xf>
    <xf numFmtId="38" fontId="21" fillId="0" borderId="5" xfId="3" applyFont="1" applyBorder="1">
      <alignment vertical="center"/>
    </xf>
    <xf numFmtId="0" fontId="22" fillId="0" borderId="0" xfId="0" applyFont="1" applyProtection="1">
      <alignment vertical="center"/>
      <protection locked="0"/>
    </xf>
    <xf numFmtId="38" fontId="18" fillId="0" borderId="37" xfId="3" applyFont="1" applyBorder="1">
      <alignment vertical="center"/>
    </xf>
    <xf numFmtId="38" fontId="18" fillId="0" borderId="38" xfId="3" applyFont="1" applyBorder="1">
      <alignment vertical="center"/>
    </xf>
    <xf numFmtId="38" fontId="18" fillId="0" borderId="39" xfId="3" applyFont="1" applyBorder="1">
      <alignment vertical="center"/>
    </xf>
    <xf numFmtId="38" fontId="18" fillId="0" borderId="36" xfId="3" applyFont="1" applyBorder="1" applyAlignment="1" applyProtection="1">
      <alignment horizontal="right" vertical="center"/>
      <protection locked="0"/>
    </xf>
    <xf numFmtId="38" fontId="18" fillId="3" borderId="0" xfId="3" applyFont="1" applyFill="1">
      <alignment vertical="center"/>
    </xf>
    <xf numFmtId="0" fontId="24" fillId="0" borderId="18"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26" fillId="0" borderId="0" xfId="0" applyFont="1">
      <alignment vertical="center"/>
    </xf>
    <xf numFmtId="38" fontId="27" fillId="0" borderId="0" xfId="0" applyNumberFormat="1" applyFont="1">
      <alignment vertical="center"/>
    </xf>
    <xf numFmtId="0" fontId="26" fillId="0" borderId="0" xfId="0" quotePrefix="1" applyFont="1">
      <alignment vertical="center"/>
    </xf>
    <xf numFmtId="0" fontId="28" fillId="0" borderId="40" xfId="0" applyFont="1" applyBorder="1">
      <alignment vertical="center"/>
    </xf>
    <xf numFmtId="14" fontId="28" fillId="0" borderId="40" xfId="0" applyNumberFormat="1" applyFont="1" applyBorder="1">
      <alignment vertical="center"/>
    </xf>
    <xf numFmtId="0" fontId="0" fillId="0" borderId="41" xfId="0" applyBorder="1">
      <alignment vertical="center"/>
    </xf>
    <xf numFmtId="14" fontId="28" fillId="0" borderId="42" xfId="0" applyNumberFormat="1" applyFont="1" applyBorder="1">
      <alignment vertical="center"/>
    </xf>
    <xf numFmtId="0" fontId="28" fillId="0" borderId="42" xfId="0" applyFont="1" applyBorder="1">
      <alignment vertical="center"/>
    </xf>
    <xf numFmtId="167" fontId="28" fillId="0" borderId="43" xfId="0" applyNumberFormat="1" applyFont="1" applyBorder="1">
      <alignment vertical="center"/>
    </xf>
    <xf numFmtId="0" fontId="0" fillId="0" borderId="44" xfId="0" applyBorder="1">
      <alignment vertical="center"/>
    </xf>
    <xf numFmtId="167" fontId="28" fillId="0" borderId="45" xfId="0" applyNumberFormat="1" applyFont="1" applyBorder="1">
      <alignment vertical="center"/>
    </xf>
    <xf numFmtId="0" fontId="0" fillId="0" borderId="46" xfId="0" applyBorder="1">
      <alignment vertical="center"/>
    </xf>
    <xf numFmtId="14" fontId="28" fillId="0" borderId="47" xfId="0" applyNumberFormat="1" applyFont="1" applyBorder="1">
      <alignment vertical="center"/>
    </xf>
    <xf numFmtId="0" fontId="28" fillId="0" borderId="47" xfId="0" applyFont="1" applyBorder="1">
      <alignment vertical="center"/>
    </xf>
    <xf numFmtId="167" fontId="28" fillId="0" borderId="48" xfId="0" applyNumberFormat="1" applyFont="1" applyBorder="1">
      <alignment vertical="center"/>
    </xf>
    <xf numFmtId="0" fontId="28" fillId="0" borderId="0" xfId="0" applyFont="1">
      <alignment vertical="center"/>
    </xf>
    <xf numFmtId="165" fontId="8" fillId="0" borderId="0" xfId="0" applyNumberFormat="1" applyFont="1" applyProtection="1">
      <alignment vertical="center"/>
      <protection locked="0"/>
    </xf>
    <xf numFmtId="165" fontId="6" fillId="0" borderId="0" xfId="0" applyNumberFormat="1" applyFont="1" applyAlignment="1" applyProtection="1">
      <alignment horizontal="center" vertical="center"/>
      <protection locked="0"/>
    </xf>
    <xf numFmtId="165" fontId="1" fillId="0" borderId="0" xfId="0" applyNumberFormat="1" applyFont="1" applyAlignment="1" applyProtection="1">
      <alignment horizontal="center"/>
      <protection locked="0"/>
    </xf>
    <xf numFmtId="165" fontId="11" fillId="0" borderId="0" xfId="0" applyNumberFormat="1" applyFont="1">
      <alignment vertical="center"/>
    </xf>
    <xf numFmtId="165" fontId="6" fillId="0" borderId="22" xfId="0" applyNumberFormat="1" applyFont="1" applyBorder="1">
      <alignment vertical="center"/>
    </xf>
    <xf numFmtId="0" fontId="29" fillId="0" borderId="0" xfId="0" applyFont="1">
      <alignment vertical="center"/>
    </xf>
    <xf numFmtId="165" fontId="29" fillId="0" borderId="0" xfId="0" applyNumberFormat="1" applyFont="1" applyProtection="1">
      <alignment vertical="center"/>
      <protection locked="0"/>
    </xf>
    <xf numFmtId="165" fontId="29" fillId="0" borderId="0" xfId="0" applyNumberFormat="1" applyFont="1">
      <alignment vertical="center"/>
    </xf>
    <xf numFmtId="165" fontId="30" fillId="0" borderId="0" xfId="0" applyNumberFormat="1" applyFont="1" applyProtection="1">
      <alignment vertical="center"/>
      <protection locked="0"/>
    </xf>
    <xf numFmtId="165" fontId="31" fillId="0" borderId="0" xfId="0" applyNumberFormat="1" applyFont="1" applyProtection="1">
      <alignment vertical="center"/>
      <protection locked="0"/>
    </xf>
    <xf numFmtId="0" fontId="31" fillId="0" borderId="0" xfId="0" applyFont="1">
      <alignment vertical="center"/>
    </xf>
    <xf numFmtId="165" fontId="33" fillId="0" borderId="0" xfId="0" applyNumberFormat="1" applyFont="1" applyProtection="1">
      <alignment vertical="center"/>
      <protection locked="0"/>
    </xf>
    <xf numFmtId="165" fontId="31" fillId="0" borderId="0" xfId="0" applyNumberFormat="1" applyFont="1" applyAlignment="1">
      <alignment horizontal="left" vertical="center"/>
    </xf>
    <xf numFmtId="165" fontId="31" fillId="0" borderId="0" xfId="0" applyNumberFormat="1" applyFont="1">
      <alignment vertical="center"/>
    </xf>
    <xf numFmtId="165" fontId="31" fillId="0" borderId="49" xfId="0" applyNumberFormat="1" applyFont="1" applyBorder="1" applyProtection="1">
      <alignment vertical="center"/>
      <protection locked="0"/>
    </xf>
    <xf numFmtId="165" fontId="31" fillId="0" borderId="50" xfId="0" applyNumberFormat="1" applyFont="1" applyBorder="1">
      <alignment vertical="center"/>
    </xf>
    <xf numFmtId="165" fontId="33" fillId="0" borderId="50" xfId="0" applyNumberFormat="1" applyFont="1" applyBorder="1">
      <alignment vertical="center"/>
    </xf>
    <xf numFmtId="165" fontId="31" fillId="0" borderId="3" xfId="0" applyNumberFormat="1" applyFont="1" applyBorder="1" applyProtection="1">
      <alignment vertical="center"/>
      <protection locked="0"/>
    </xf>
    <xf numFmtId="165" fontId="33" fillId="0" borderId="0" xfId="0" applyNumberFormat="1" applyFont="1">
      <alignment vertical="center"/>
    </xf>
    <xf numFmtId="165" fontId="31" fillId="0" borderId="25" xfId="0" applyNumberFormat="1" applyFont="1" applyBorder="1" applyProtection="1">
      <alignment vertical="center"/>
      <protection locked="0"/>
    </xf>
    <xf numFmtId="165" fontId="31" fillId="0" borderId="26" xfId="0" applyNumberFormat="1" applyFont="1" applyBorder="1">
      <alignment vertical="center"/>
    </xf>
    <xf numFmtId="165" fontId="33" fillId="0" borderId="26" xfId="0" applyNumberFormat="1" applyFont="1" applyBorder="1">
      <alignment vertical="center"/>
    </xf>
    <xf numFmtId="165" fontId="31" fillId="0" borderId="10" xfId="0" applyNumberFormat="1" applyFont="1" applyBorder="1" applyProtection="1">
      <alignment vertical="center"/>
      <protection locked="0"/>
    </xf>
    <xf numFmtId="165" fontId="31" fillId="0" borderId="11" xfId="0" applyNumberFormat="1" applyFont="1" applyBorder="1">
      <alignment vertical="center"/>
    </xf>
    <xf numFmtId="165" fontId="31" fillId="0" borderId="17" xfId="0" applyNumberFormat="1" applyFont="1" applyBorder="1">
      <alignment vertical="center"/>
    </xf>
    <xf numFmtId="165" fontId="31" fillId="0" borderId="50" xfId="0" applyNumberFormat="1" applyFont="1" applyBorder="1" applyProtection="1">
      <alignment vertical="center"/>
      <protection locked="0"/>
    </xf>
    <xf numFmtId="165" fontId="31" fillId="0" borderId="50" xfId="0" applyNumberFormat="1" applyFont="1" applyBorder="1" applyAlignment="1" applyProtection="1">
      <alignment horizontal="center"/>
      <protection locked="0"/>
    </xf>
    <xf numFmtId="165" fontId="31" fillId="0" borderId="51" xfId="0" applyNumberFormat="1" applyFont="1" applyBorder="1" applyAlignment="1" applyProtection="1">
      <alignment horizontal="center" vertical="center"/>
      <protection locked="0"/>
    </xf>
    <xf numFmtId="3" fontId="33" fillId="0" borderId="50" xfId="0" applyNumberFormat="1" applyFont="1" applyBorder="1" applyAlignment="1" applyProtection="1">
      <alignment horizontal="right" vertical="center"/>
      <protection locked="0"/>
    </xf>
    <xf numFmtId="166" fontId="33" fillId="0" borderId="50" xfId="0" applyNumberFormat="1" applyFont="1" applyBorder="1" applyAlignment="1" applyProtection="1">
      <alignment horizontal="right" vertical="center"/>
      <protection locked="0"/>
    </xf>
    <xf numFmtId="165" fontId="31" fillId="0" borderId="51" xfId="0" applyNumberFormat="1" applyFont="1" applyBorder="1" applyAlignment="1" applyProtection="1">
      <alignment vertical="center" wrapText="1"/>
      <protection locked="0"/>
    </xf>
    <xf numFmtId="3" fontId="31" fillId="0" borderId="0" xfId="0" applyNumberFormat="1" applyFont="1" applyAlignment="1" applyProtection="1">
      <alignment horizontal="right" vertical="center"/>
      <protection locked="0"/>
    </xf>
    <xf numFmtId="166" fontId="31" fillId="0" borderId="0" xfId="0" applyNumberFormat="1" applyFont="1" applyAlignment="1" applyProtection="1">
      <alignment horizontal="right" vertical="center"/>
      <protection locked="0"/>
    </xf>
    <xf numFmtId="165" fontId="31" fillId="0" borderId="14" xfId="0" applyNumberFormat="1" applyFont="1" applyBorder="1" applyAlignment="1" applyProtection="1">
      <alignment vertical="center" wrapText="1"/>
      <protection locked="0"/>
    </xf>
    <xf numFmtId="3" fontId="31" fillId="0" borderId="11" xfId="0" applyNumberFormat="1" applyFont="1" applyBorder="1" applyAlignment="1" applyProtection="1">
      <alignment horizontal="right" vertical="center"/>
      <protection locked="0"/>
    </xf>
    <xf numFmtId="166" fontId="31" fillId="0" borderId="11" xfId="0" applyNumberFormat="1" applyFont="1" applyBorder="1" applyAlignment="1" applyProtection="1">
      <alignment horizontal="right" vertical="center"/>
      <protection locked="0"/>
    </xf>
    <xf numFmtId="165" fontId="31" fillId="0" borderId="17" xfId="0" applyNumberFormat="1" applyFont="1" applyBorder="1" applyAlignment="1" applyProtection="1">
      <alignment vertical="center" wrapText="1"/>
      <protection locked="0"/>
    </xf>
    <xf numFmtId="3" fontId="33" fillId="0" borderId="0" xfId="0" applyNumberFormat="1" applyFont="1" applyAlignment="1" applyProtection="1">
      <alignment horizontal="right" vertical="center"/>
      <protection locked="0"/>
    </xf>
    <xf numFmtId="166" fontId="33" fillId="0" borderId="0" xfId="0" applyNumberFormat="1" applyFont="1" applyAlignment="1" applyProtection="1">
      <alignment horizontal="right" vertical="center"/>
      <protection locked="0"/>
    </xf>
    <xf numFmtId="165" fontId="31" fillId="0" borderId="11" xfId="0" applyNumberFormat="1" applyFont="1" applyBorder="1" applyAlignment="1" applyProtection="1">
      <alignment horizontal="left" vertical="center"/>
      <protection locked="0"/>
    </xf>
    <xf numFmtId="165" fontId="31" fillId="0" borderId="25" xfId="0" applyNumberFormat="1" applyFont="1" applyBorder="1" applyAlignment="1" applyProtection="1">
      <alignment horizontal="center" vertical="center"/>
      <protection locked="0"/>
    </xf>
    <xf numFmtId="165" fontId="31" fillId="0" borderId="26" xfId="0" applyNumberFormat="1" applyFont="1" applyBorder="1" applyAlignment="1" applyProtection="1">
      <alignment horizontal="left" vertical="center"/>
      <protection locked="0"/>
    </xf>
    <xf numFmtId="3" fontId="33" fillId="0" borderId="26" xfId="0" applyNumberFormat="1" applyFont="1" applyBorder="1" applyAlignment="1" applyProtection="1">
      <alignment horizontal="right" vertical="center"/>
      <protection locked="0"/>
    </xf>
    <xf numFmtId="166" fontId="31" fillId="0" borderId="26" xfId="0" applyNumberFormat="1" applyFont="1" applyBorder="1" applyAlignment="1" applyProtection="1">
      <alignment horizontal="right" vertical="center"/>
      <protection locked="0"/>
    </xf>
    <xf numFmtId="165" fontId="31" fillId="0" borderId="27" xfId="0" applyNumberFormat="1" applyFont="1" applyBorder="1" applyAlignment="1" applyProtection="1">
      <alignment vertical="center" wrapText="1"/>
      <protection locked="0"/>
    </xf>
    <xf numFmtId="165" fontId="31" fillId="0" borderId="11" xfId="0" applyNumberFormat="1" applyFont="1" applyBorder="1" applyProtection="1">
      <alignment vertical="center"/>
      <protection locked="0"/>
    </xf>
    <xf numFmtId="3" fontId="31" fillId="0" borderId="11" xfId="0" applyNumberFormat="1" applyFont="1" applyBorder="1" applyProtection="1">
      <alignment vertical="center"/>
      <protection locked="0"/>
    </xf>
    <xf numFmtId="3" fontId="31" fillId="0" borderId="0" xfId="0" applyNumberFormat="1" applyFont="1" applyProtection="1">
      <alignment vertical="center"/>
      <protection locked="0"/>
    </xf>
    <xf numFmtId="165" fontId="31" fillId="0" borderId="30" xfId="0" applyNumberFormat="1" applyFont="1" applyBorder="1" applyProtection="1">
      <alignment vertical="center"/>
      <protection locked="0"/>
    </xf>
    <xf numFmtId="165" fontId="31" fillId="0" borderId="31" xfId="0" applyNumberFormat="1" applyFont="1" applyBorder="1" applyProtection="1">
      <alignment vertical="center"/>
      <protection locked="0"/>
    </xf>
    <xf numFmtId="165" fontId="31" fillId="0" borderId="31" xfId="0" applyNumberFormat="1" applyFont="1" applyBorder="1" applyAlignment="1" applyProtection="1">
      <alignment horizontal="center" vertical="center"/>
      <protection locked="0"/>
    </xf>
    <xf numFmtId="165" fontId="31" fillId="0" borderId="32" xfId="0" applyNumberFormat="1" applyFont="1" applyBorder="1" applyAlignment="1" applyProtection="1">
      <alignment horizontal="center" vertical="center"/>
      <protection locked="0"/>
    </xf>
    <xf numFmtId="3" fontId="33" fillId="0" borderId="50" xfId="0" applyNumberFormat="1" applyFont="1" applyBorder="1" applyProtection="1">
      <alignment vertical="center"/>
      <protection locked="0"/>
    </xf>
    <xf numFmtId="166" fontId="33" fillId="0" borderId="50" xfId="0" applyNumberFormat="1" applyFont="1" applyBorder="1" applyProtection="1">
      <alignment vertical="center"/>
      <protection locked="0"/>
    </xf>
    <xf numFmtId="166" fontId="31" fillId="0" borderId="0" xfId="0" applyNumberFormat="1" applyFont="1" applyProtection="1">
      <alignment vertical="center"/>
      <protection locked="0"/>
    </xf>
    <xf numFmtId="165" fontId="34" fillId="0" borderId="14" xfId="0" applyNumberFormat="1" applyFont="1" applyBorder="1" applyAlignment="1" applyProtection="1">
      <alignment vertical="center" wrapText="1"/>
      <protection locked="0"/>
    </xf>
    <xf numFmtId="166" fontId="31" fillId="0" borderId="11" xfId="0" applyNumberFormat="1" applyFont="1" applyBorder="1" applyProtection="1">
      <alignment vertical="center"/>
      <protection locked="0"/>
    </xf>
    <xf numFmtId="3" fontId="33" fillId="0" borderId="0" xfId="0" applyNumberFormat="1" applyFont="1" applyProtection="1">
      <alignment vertical="center"/>
      <protection locked="0"/>
    </xf>
    <xf numFmtId="166" fontId="33" fillId="0" borderId="0" xfId="0" applyNumberFormat="1" applyFont="1" applyProtection="1">
      <alignment vertical="center"/>
      <protection locked="0"/>
    </xf>
    <xf numFmtId="165" fontId="31" fillId="0" borderId="0" xfId="0" applyNumberFormat="1" applyFont="1" applyAlignment="1" applyProtection="1">
      <alignment horizontal="left" vertical="center"/>
      <protection locked="0"/>
    </xf>
    <xf numFmtId="165" fontId="31" fillId="0" borderId="0" xfId="0" applyNumberFormat="1" applyFont="1" applyAlignment="1" applyProtection="1">
      <alignment vertical="center" wrapText="1"/>
      <protection locked="0"/>
    </xf>
    <xf numFmtId="165" fontId="31" fillId="0" borderId="10" xfId="0" applyNumberFormat="1" applyFont="1" applyBorder="1">
      <alignment vertical="center"/>
    </xf>
    <xf numFmtId="165" fontId="31" fillId="0" borderId="26" xfId="0" applyNumberFormat="1" applyFont="1" applyBorder="1" applyProtection="1">
      <alignment vertical="center"/>
      <protection locked="0"/>
    </xf>
    <xf numFmtId="3" fontId="31" fillId="0" borderId="26" xfId="0" applyNumberFormat="1" applyFont="1" applyBorder="1" applyProtection="1">
      <alignment vertical="center"/>
      <protection locked="0"/>
    </xf>
    <xf numFmtId="3" fontId="33" fillId="0" borderId="11" xfId="0" applyNumberFormat="1" applyFont="1" applyBorder="1" applyProtection="1">
      <alignment vertical="center"/>
      <protection locked="0"/>
    </xf>
    <xf numFmtId="166" fontId="33" fillId="0" borderId="11" xfId="0" applyNumberFormat="1" applyFont="1" applyBorder="1" applyProtection="1">
      <alignment vertical="center"/>
      <protection locked="0"/>
    </xf>
    <xf numFmtId="165" fontId="32" fillId="0" borderId="0" xfId="0" applyNumberFormat="1" applyFont="1" applyAlignment="1">
      <alignment horizontal="left" vertical="center" wrapText="1" indent="1"/>
    </xf>
    <xf numFmtId="165" fontId="31" fillId="0" borderId="51" xfId="0" applyNumberFormat="1" applyFont="1" applyBorder="1" applyAlignment="1">
      <alignment vertical="center" wrapText="1"/>
    </xf>
    <xf numFmtId="165" fontId="31" fillId="0" borderId="14" xfId="0" applyNumberFormat="1" applyFont="1" applyBorder="1" applyAlignment="1">
      <alignment vertical="center" wrapText="1"/>
    </xf>
    <xf numFmtId="165" fontId="31" fillId="0" borderId="27" xfId="0" applyNumberFormat="1" applyFont="1" applyBorder="1" applyAlignment="1">
      <alignment vertical="center" wrapText="1"/>
    </xf>
    <xf numFmtId="166" fontId="31" fillId="0" borderId="0" xfId="0" applyNumberFormat="1" applyFont="1">
      <alignment vertical="center"/>
    </xf>
    <xf numFmtId="0" fontId="0" fillId="4" borderId="0" xfId="0" applyFill="1">
      <alignment vertical="center"/>
    </xf>
    <xf numFmtId="0" fontId="20" fillId="0" borderId="0" xfId="0" applyFont="1" applyAlignment="1" applyProtection="1">
      <alignment horizontal="center"/>
      <protection locked="0"/>
    </xf>
    <xf numFmtId="165" fontId="35" fillId="0" borderId="0" xfId="0" applyNumberFormat="1" applyFont="1" applyAlignment="1" applyProtection="1">
      <alignment horizontal="center" vertical="center"/>
      <protection locked="0"/>
    </xf>
  </cellXfs>
  <cellStyles count="4">
    <cellStyle name="桁区切り" xfId="3" builtinId="6"/>
    <cellStyle name="見出し 2" xfId="1" builtinId="17"/>
    <cellStyle name="標準" xfId="0" builtinId="0"/>
    <cellStyle name="標準 2" xfId="2" xr:uid="{12803280-764D-4464-90CF-8FC6C7ADB0A9}"/>
  </cellStyles>
  <dxfs count="8">
    <dxf>
      <numFmt numFmtId="167" formatCode="#,###"/>
    </dxf>
    <dxf>
      <numFmt numFmtId="167" formatCode="#,###"/>
    </dxf>
    <dxf>
      <numFmt numFmtId="167" formatCode="#,###"/>
    </dxf>
    <dxf>
      <numFmt numFmtId="167" formatCode="#,###"/>
    </dxf>
    <dxf>
      <numFmt numFmtId="167" formatCode="#,###"/>
    </dxf>
    <dxf>
      <numFmt numFmtId="167" formatCode="#,###"/>
    </dxf>
    <dxf>
      <numFmt numFmtId="167" formatCode="#,###"/>
    </dxf>
    <dxf>
      <numFmt numFmtId="167"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18" Type="http://schemas.microsoft.com/office/2017/10/relationships/person" Target="persons/person5.xml"/><Relationship Id="rId3" Type="http://schemas.openxmlformats.org/officeDocument/2006/relationships/worksheet" Target="worksheets/sheet3.xml"/><Relationship Id="rId21" Type="http://schemas.microsoft.com/office/2017/10/relationships/person" Target="persons/person1.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17/10/relationships/person" Target="persons/person3.xml"/><Relationship Id="rId25" Type="http://schemas.microsoft.com/office/2017/10/relationships/person" Target="persons/person1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24" Type="http://schemas.microsoft.com/office/2017/10/relationships/person" Target="persons/person9.xml"/><Relationship Id="rId5" Type="http://schemas.openxmlformats.org/officeDocument/2006/relationships/worksheet" Target="worksheets/sheet5.xml"/><Relationship Id="rId15" Type="http://schemas.microsoft.com/office/2017/10/relationships/person" Target="persons/person0.xml"/><Relationship Id="rId23" Type="http://schemas.microsoft.com/office/2017/10/relationships/person" Target="persons/person8.xml"/><Relationship Id="rId10" Type="http://schemas.openxmlformats.org/officeDocument/2006/relationships/styles" Target="styles.xml"/><Relationship Id="rId19" Type="http://schemas.microsoft.com/office/2017/10/relationships/person" Target="persons/person7.xml"/><Relationship Id="rId4" Type="http://schemas.openxmlformats.org/officeDocument/2006/relationships/worksheet" Target="worksheets/sheet4.xml"/><Relationship Id="rId9" Type="http://schemas.openxmlformats.org/officeDocument/2006/relationships/theme" Target="theme/theme1.xml"/><Relationship Id="rId22" Type="http://schemas.microsoft.com/office/2017/10/relationships/person" Target="persons/person.xml"/><Relationship Id="rId14" Type="http://schemas.microsoft.com/office/2017/10/relationships/person" Target="persons/person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19050</xdr:rowOff>
        </xdr:from>
        <xdr:to>
          <xdr:col>7</xdr:col>
          <xdr:colOff>596900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決算書作成モジュールを実行する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13</xdr:row>
          <xdr:rowOff>19050</xdr:rowOff>
        </xdr:from>
        <xdr:to>
          <xdr:col>7</xdr:col>
          <xdr:colOff>596900</xdr:colOff>
          <xdr:row>15</xdr:row>
          <xdr:rowOff>139700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プロシージャー一覧を作る</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C85B8D-3E99-48F0-9E6F-3A3609EFBE7A}" name="テーブル勘定科目ごとの小計" displayName="テーブル勘定科目ごとの小計" ref="A2:J28" totalsRowCount="1">
  <autoFilter ref="A2:J27" xr:uid="{D7C85B8D-3E99-48F0-9E6F-3A3609EFBE7A}"/>
  <tableColumns count="10">
    <tableColumn id="1" xr3:uid="{BAFE177A-74E0-4E96-ACC3-10184D474796}" name="勘定科目" totalsRowLabel="集計"/>
    <tableColumn id="2" xr3:uid="{0BE13B01-BE76-4027-95A2-DB04C363AEBD}" name="年月日"/>
    <tableColumn id="3" xr3:uid="{AEE753EE-9444-49D2-8C60-A4D8387C29D6}" name="収入科目"/>
    <tableColumn id="4" xr3:uid="{0ACE8CA0-4D19-4696-93CC-16613513A5E4}" name="収入補助科目"/>
    <tableColumn id="5" xr3:uid="{41312EF7-1D30-4968-A0DC-56928C0E93FD}" name="支出科目"/>
    <tableColumn id="6" xr3:uid="{1060F0B3-0FE2-4E65-B39A-3996C313F9D4}" name="支出補助科目"/>
    <tableColumn id="7" xr3:uid="{2FA09C44-B51B-49B4-80B1-08D92F5C7A25}" name="収支報告単位"/>
    <tableColumn id="8" xr3:uid="{F329EC1B-E82D-420B-8DB5-408A6025C3A4}" name="摘要"/>
    <tableColumn id="9" xr3:uid="{ABBBF953-2B06-47DD-9758-8CA3744DAB8A}" name="借方金額" totalsRowFunction="sum" dataDxfId="7" totalsRowDxfId="6"/>
    <tableColumn id="10" xr3:uid="{0805F6BE-9686-40E6-9D33-CA3526FEAAE7}"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3CE489-6F96-4A18-A27E-0C37C614F406}" name="テーブル現金出納記録" displayName="テーブル現金出納記録" ref="A33:J322" totalsRowCount="1">
  <autoFilter ref="A33:J321" xr:uid="{8C3CE489-6F96-4A18-A27E-0C37C614F406}"/>
  <tableColumns count="10">
    <tableColumn id="1" xr3:uid="{BABCEEF2-BCF2-473D-A8E0-13893D743A9E}" name="勘定科目" totalsRowLabel="集計"/>
    <tableColumn id="2" xr3:uid="{9DDF139F-CB82-49BC-A6BE-238E728F65ED}" name="年月日"/>
    <tableColumn id="3" xr3:uid="{2D839CB7-9A65-49E8-B2BA-284ED83A5168}" name="収入科目"/>
    <tableColumn id="4" xr3:uid="{FBA849B9-5AB6-48A2-8738-87F35ACAD4D7}" name="収入補助科目"/>
    <tableColumn id="5" xr3:uid="{18151F36-F461-4038-9E47-68AAAEEF1B4F}" name="支出科目"/>
    <tableColumn id="6" xr3:uid="{B87EAC77-98E0-49DB-BE05-BA108825879B}" name="支出補助科目"/>
    <tableColumn id="7" xr3:uid="{64309C96-91F9-48F2-B477-C48800078618}" name="収支報告単位"/>
    <tableColumn id="8" xr3:uid="{C46E7171-C23D-454B-AA24-3AEF7144428C}" name="摘要"/>
    <tableColumn id="9" xr3:uid="{E67E80DE-FFFD-4CDC-A121-746396AB96AF}" name="借方金額" totalsRowFunction="sum" dataDxfId="3" totalsRowDxfId="2"/>
    <tableColumn id="10" xr3:uid="{5A4AC1DF-03A4-479D-8A41-8BE298078E6E}" name="貸方金額" totalsRowFunction="sum"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14BCA-4971-4776-AB9A-F0A4B2147F1F}">
  <sheetPr codeName="Sheet3"/>
  <dimension ref="A1"/>
  <sheetViews>
    <sheetView workbookViewId="0">
      <selection activeCell="H26" sqref="H26"/>
    </sheetView>
  </sheetViews>
  <sheetFormatPr defaultRowHeight="13"/>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決算書作成.決算書作成">
                <anchor moveWithCells="1" sizeWithCells="1">
                  <from>
                    <xdr:col>1</xdr:col>
                    <xdr:colOff>57150</xdr:colOff>
                    <xdr:row>1</xdr:row>
                    <xdr:rowOff>19050</xdr:rowOff>
                  </from>
                  <to>
                    <xdr:col>7</xdr:col>
                    <xdr:colOff>596900</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プロシージャー一覧を作る.プロシージャー一覧を作る">
                <anchor moveWithCells="1" sizeWithCells="1">
                  <from>
                    <xdr:col>1</xdr:col>
                    <xdr:colOff>44450</xdr:colOff>
                    <xdr:row>13</xdr:row>
                    <xdr:rowOff>19050</xdr:rowOff>
                  </from>
                  <to>
                    <xdr:col>7</xdr:col>
                    <xdr:colOff>596900</xdr:colOff>
                    <xdr:row>15</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Y58"/>
  <sheetViews>
    <sheetView workbookViewId="0"/>
  </sheetViews>
  <sheetFormatPr defaultColWidth="11" defaultRowHeight="13"/>
  <cols>
    <col min="1" max="1" width="0.90625" style="4" customWidth="1"/>
    <col min="2" max="2" width="3.26953125" style="4" customWidth="1"/>
    <col min="3" max="3" width="23.36328125" style="4" customWidth="1"/>
    <col min="4" max="4" width="13.54296875" style="4" bestFit="1" customWidth="1"/>
    <col min="5" max="5" width="15.26953125" style="4" bestFit="1" customWidth="1"/>
    <col min="6" max="6" width="11.90625" style="4" bestFit="1" customWidth="1"/>
    <col min="7" max="7" width="10.6328125" style="4" bestFit="1" customWidth="1"/>
    <col min="8" max="8" width="37.1796875" style="4" customWidth="1"/>
    <col min="9" max="9" width="92.7265625" style="4" bestFit="1" customWidth="1"/>
    <col min="10" max="16384" width="11" style="4"/>
  </cols>
  <sheetData>
    <row r="1" spans="2:25" ht="15" customHeight="1">
      <c r="B1" s="31"/>
      <c r="C1" s="32" t="s">
        <v>421</v>
      </c>
      <c r="D1" s="31"/>
      <c r="E1" s="31"/>
      <c r="F1" s="31"/>
      <c r="G1" s="31"/>
      <c r="H1" s="31" t="s">
        <v>454</v>
      </c>
      <c r="I1" s="31"/>
    </row>
    <row r="2" spans="2:25" s="1" customFormat="1" ht="25.5" customHeight="1">
      <c r="B2" s="190" t="s">
        <v>420</v>
      </c>
      <c r="C2" s="190"/>
      <c r="D2" s="190"/>
      <c r="E2" s="190"/>
      <c r="F2" s="190"/>
      <c r="G2" s="190"/>
      <c r="H2" s="190"/>
      <c r="I2" s="33"/>
      <c r="J2" s="2"/>
      <c r="K2" s="2"/>
      <c r="L2" s="2"/>
      <c r="M2" s="2"/>
      <c r="N2" s="2"/>
      <c r="O2" s="2"/>
      <c r="P2" s="2"/>
      <c r="Q2" s="2"/>
      <c r="R2" s="2"/>
      <c r="S2" s="2"/>
      <c r="T2" s="2"/>
      <c r="U2" s="2"/>
      <c r="V2" s="2"/>
      <c r="W2" s="2"/>
      <c r="X2" s="2"/>
      <c r="Y2" s="2"/>
    </row>
    <row r="3" spans="2:25" ht="18" customHeight="1">
      <c r="B3" s="34"/>
      <c r="C3" s="35" t="s">
        <v>0</v>
      </c>
      <c r="D3" s="34"/>
      <c r="E3" s="34"/>
      <c r="F3" s="34"/>
      <c r="G3" s="34"/>
      <c r="H3" s="36" t="s">
        <v>42</v>
      </c>
      <c r="I3" s="31"/>
    </row>
    <row r="4" spans="2:25" ht="26">
      <c r="B4" s="37"/>
      <c r="C4" s="38" t="s">
        <v>1</v>
      </c>
      <c r="D4" s="100" t="s">
        <v>456</v>
      </c>
      <c r="E4" s="40" t="s">
        <v>455</v>
      </c>
      <c r="F4" s="40" t="s">
        <v>426</v>
      </c>
      <c r="G4" s="39" t="s">
        <v>428</v>
      </c>
      <c r="H4" s="41" t="s">
        <v>458</v>
      </c>
      <c r="I4" s="34" t="s">
        <v>459</v>
      </c>
    </row>
    <row r="5" spans="2:25" ht="16.5" customHeight="1">
      <c r="B5" s="42" t="s">
        <v>2</v>
      </c>
      <c r="C5" s="43" t="s">
        <v>3</v>
      </c>
      <c r="D5" s="76">
        <f ca="1">INDIRECT("決算書!E14")</f>
        <v>2001000</v>
      </c>
      <c r="E5" s="44">
        <f>SUM(E6:E9)</f>
        <v>2982000</v>
      </c>
      <c r="F5" s="44">
        <v>2859000</v>
      </c>
      <c r="G5" s="45">
        <f>E5-F5</f>
        <v>123000</v>
      </c>
      <c r="H5" s="46" t="s">
        <v>411</v>
      </c>
      <c r="I5" s="34" t="s">
        <v>460</v>
      </c>
    </row>
    <row r="6" spans="2:25" ht="16.5" customHeight="1">
      <c r="B6" s="42"/>
      <c r="C6" s="47" t="s">
        <v>43</v>
      </c>
      <c r="D6" s="77">
        <f ca="1">INDIRECT("決算書!E15")</f>
        <v>851000</v>
      </c>
      <c r="E6" s="99">
        <v>2001000</v>
      </c>
      <c r="F6" s="84">
        <v>1892000</v>
      </c>
      <c r="G6" s="49">
        <f t="shared" ref="G6:G17" si="0">E6-F6</f>
        <v>109000</v>
      </c>
      <c r="H6" s="50" t="s">
        <v>441</v>
      </c>
      <c r="I6" s="32"/>
    </row>
    <row r="7" spans="2:25" ht="16.5" customHeight="1">
      <c r="B7" s="42"/>
      <c r="C7" s="47" t="s">
        <v>44</v>
      </c>
      <c r="D7" s="77">
        <f ca="1">INDIRECT("決算書!E16")</f>
        <v>120000</v>
      </c>
      <c r="E7" s="99">
        <v>851000</v>
      </c>
      <c r="F7" s="84">
        <v>897000</v>
      </c>
      <c r="G7" s="49">
        <f t="shared" si="0"/>
        <v>-46000</v>
      </c>
      <c r="H7" s="50" t="s">
        <v>442</v>
      </c>
      <c r="I7" s="32"/>
    </row>
    <row r="8" spans="2:25" ht="16.5" customHeight="1">
      <c r="B8" s="42"/>
      <c r="C8" s="47" t="s">
        <v>45</v>
      </c>
      <c r="D8" s="77">
        <f ca="1">INDIRECT("決算書!E17")</f>
        <v>10000</v>
      </c>
      <c r="E8" s="99">
        <v>120000</v>
      </c>
      <c r="F8" s="84">
        <v>70000</v>
      </c>
      <c r="G8" s="49">
        <f t="shared" si="0"/>
        <v>50000</v>
      </c>
      <c r="H8" s="50" t="s">
        <v>440</v>
      </c>
      <c r="I8" s="32"/>
    </row>
    <row r="9" spans="2:25" ht="16.5" customHeight="1">
      <c r="B9" s="51"/>
      <c r="C9" s="47" t="s">
        <v>46</v>
      </c>
      <c r="D9" s="77">
        <f ca="1">INDIRECT("決算書!E18")</f>
        <v>1214059</v>
      </c>
      <c r="E9" s="99">
        <v>10000</v>
      </c>
      <c r="F9" s="84">
        <v>0</v>
      </c>
      <c r="G9" s="49">
        <f t="shared" si="0"/>
        <v>10000</v>
      </c>
      <c r="H9" s="50" t="s">
        <v>413</v>
      </c>
      <c r="I9" s="52"/>
    </row>
    <row r="10" spans="2:25" ht="16.5" customHeight="1">
      <c r="B10" s="42" t="s">
        <v>8</v>
      </c>
      <c r="C10" s="34" t="s">
        <v>9</v>
      </c>
      <c r="D10" s="76">
        <f ca="1">SUM(D11:D12)</f>
        <v>565059</v>
      </c>
      <c r="E10" s="85">
        <f>SUM(E11:E12)</f>
        <v>1170000</v>
      </c>
      <c r="F10" s="85">
        <v>901000</v>
      </c>
      <c r="G10" s="45">
        <f t="shared" si="0"/>
        <v>269000</v>
      </c>
      <c r="H10" s="53"/>
    </row>
    <row r="11" spans="2:25" ht="16.5" customHeight="1">
      <c r="B11" s="42"/>
      <c r="C11" s="47" t="s">
        <v>47</v>
      </c>
      <c r="D11" s="77">
        <f ca="1">INDIRECT("決算書!E21")</f>
        <v>59</v>
      </c>
      <c r="E11" s="99">
        <v>800000</v>
      </c>
      <c r="F11" s="84">
        <v>800000</v>
      </c>
      <c r="G11" s="49">
        <f t="shared" si="0"/>
        <v>0</v>
      </c>
      <c r="H11" s="54" t="s">
        <v>150</v>
      </c>
      <c r="I11" s="34" t="s">
        <v>430</v>
      </c>
    </row>
    <row r="12" spans="2:25" ht="16.5" customHeight="1">
      <c r="B12" s="51"/>
      <c r="C12" s="47" t="s">
        <v>48</v>
      </c>
      <c r="D12" s="77">
        <f ca="1">INDIRECT("決算書!E22")</f>
        <v>565000</v>
      </c>
      <c r="E12" s="99">
        <v>370000</v>
      </c>
      <c r="F12" s="84">
        <v>101000</v>
      </c>
      <c r="G12" s="49">
        <f t="shared" si="0"/>
        <v>269000</v>
      </c>
      <c r="H12" s="54" t="s">
        <v>422</v>
      </c>
      <c r="I12" s="34" t="s">
        <v>461</v>
      </c>
    </row>
    <row r="13" spans="2:25" ht="16.5" customHeight="1">
      <c r="B13" s="42" t="s">
        <v>11</v>
      </c>
      <c r="C13" s="34" t="s">
        <v>49</v>
      </c>
      <c r="D13" s="76">
        <f ca="1">INDIRECT("決算書!E25")</f>
        <v>10618117</v>
      </c>
      <c r="E13" s="85">
        <f>SUM(E14)</f>
        <v>565000</v>
      </c>
      <c r="F13" s="85">
        <v>165000</v>
      </c>
      <c r="G13" s="45">
        <f t="shared" si="0"/>
        <v>400000</v>
      </c>
      <c r="H13" s="56"/>
    </row>
    <row r="14" spans="2:25" ht="26">
      <c r="B14" s="57"/>
      <c r="C14" s="58" t="s">
        <v>50</v>
      </c>
      <c r="D14" s="77">
        <f ca="1">INDIRECT("決算書!E26")</f>
        <v>0</v>
      </c>
      <c r="E14" s="99">
        <v>565000</v>
      </c>
      <c r="F14" s="84">
        <v>165000</v>
      </c>
      <c r="G14" s="49">
        <f t="shared" si="0"/>
        <v>400000</v>
      </c>
      <c r="H14" s="59" t="s">
        <v>424</v>
      </c>
      <c r="I14" s="34" t="s">
        <v>423</v>
      </c>
    </row>
    <row r="15" spans="2:25" ht="16.5" customHeight="1">
      <c r="B15" s="42" t="s">
        <v>14</v>
      </c>
      <c r="C15" s="34" t="s">
        <v>15</v>
      </c>
      <c r="D15" s="76"/>
      <c r="E15" s="85">
        <f>SUM(E16)</f>
        <v>7122521</v>
      </c>
      <c r="F15" s="85">
        <v>5859266</v>
      </c>
      <c r="G15" s="45">
        <f t="shared" si="0"/>
        <v>1263255</v>
      </c>
      <c r="H15" s="60"/>
      <c r="I15" s="34"/>
    </row>
    <row r="16" spans="2:25" ht="16.5" customHeight="1" thickBot="1">
      <c r="B16" s="51"/>
      <c r="C16" s="61" t="s">
        <v>51</v>
      </c>
      <c r="D16" s="78"/>
      <c r="E16" s="86">
        <v>7122521</v>
      </c>
      <c r="F16" s="86">
        <v>5859266</v>
      </c>
      <c r="G16" s="62">
        <f t="shared" si="0"/>
        <v>1263255</v>
      </c>
      <c r="H16" s="63" t="s">
        <v>436</v>
      </c>
      <c r="I16" s="34"/>
    </row>
    <row r="17" spans="2:10" ht="16.5" customHeight="1" thickTop="1">
      <c r="B17" s="64" t="s">
        <v>16</v>
      </c>
      <c r="C17" s="65" t="s">
        <v>17</v>
      </c>
      <c r="D17" s="79">
        <f ca="1">D5+D10+D13+D15</f>
        <v>13184176</v>
      </c>
      <c r="E17" s="87">
        <f>E5+E10+E13+E15</f>
        <v>11839521</v>
      </c>
      <c r="F17" s="87">
        <v>9784226</v>
      </c>
      <c r="G17" s="80">
        <f t="shared" si="0"/>
        <v>2055295</v>
      </c>
      <c r="H17" s="66"/>
      <c r="I17" s="32"/>
      <c r="J17" s="7"/>
    </row>
    <row r="18" spans="2:10" ht="18" customHeight="1">
      <c r="B18" s="34"/>
      <c r="C18" s="35" t="s">
        <v>18</v>
      </c>
      <c r="D18" s="34"/>
      <c r="E18" s="82"/>
      <c r="F18" s="82"/>
      <c r="G18" s="83"/>
      <c r="H18" s="34"/>
      <c r="I18" s="31"/>
    </row>
    <row r="19" spans="2:10" ht="26">
      <c r="B19" s="37"/>
      <c r="C19" s="67" t="s">
        <v>19</v>
      </c>
      <c r="D19" s="101" t="s">
        <v>457</v>
      </c>
      <c r="E19" s="88" t="s">
        <v>425</v>
      </c>
      <c r="F19" s="88" t="s">
        <v>427</v>
      </c>
      <c r="G19" s="81" t="s">
        <v>429</v>
      </c>
      <c r="H19" s="68" t="s">
        <v>71</v>
      </c>
      <c r="I19" s="34"/>
      <c r="J19" s="7"/>
    </row>
    <row r="20" spans="2:10" ht="16.5" customHeight="1">
      <c r="B20" s="42" t="s">
        <v>2</v>
      </c>
      <c r="C20" s="34" t="s">
        <v>20</v>
      </c>
      <c r="D20" s="48" t="e">
        <f ca="1">INDIRECT("決算書!E3４")</f>
        <v>#REF!</v>
      </c>
      <c r="E20" s="85">
        <f>SUM(E21:E25)</f>
        <v>400000</v>
      </c>
      <c r="F20" s="85">
        <v>460000</v>
      </c>
      <c r="G20" s="89">
        <f>E20-F20</f>
        <v>-60000</v>
      </c>
      <c r="H20" s="53"/>
      <c r="I20" s="34"/>
    </row>
    <row r="21" spans="2:10" ht="16.5" customHeight="1">
      <c r="B21" s="42"/>
      <c r="C21" s="47" t="s">
        <v>52</v>
      </c>
      <c r="D21" s="48" t="e">
        <f ca="1">INDIRECT("決算書!E3５")</f>
        <v>#REF!</v>
      </c>
      <c r="E21" s="99">
        <v>30000</v>
      </c>
      <c r="F21" s="84">
        <v>30000</v>
      </c>
      <c r="G21" s="55">
        <f t="shared" ref="G21:G48" si="1">E21-F21</f>
        <v>0</v>
      </c>
      <c r="H21" s="54"/>
      <c r="I21" s="34"/>
    </row>
    <row r="22" spans="2:10" ht="16.5" customHeight="1">
      <c r="B22" s="42"/>
      <c r="C22" s="47" t="s">
        <v>53</v>
      </c>
      <c r="D22" s="48" t="e">
        <f ca="1">INDIRECT("決算書!E3６")</f>
        <v>#REF!</v>
      </c>
      <c r="E22" s="99">
        <v>200000</v>
      </c>
      <c r="F22" s="84">
        <v>200000</v>
      </c>
      <c r="G22" s="55">
        <f t="shared" si="1"/>
        <v>0</v>
      </c>
      <c r="H22" s="54" t="s">
        <v>74</v>
      </c>
      <c r="I22" s="32"/>
    </row>
    <row r="23" spans="2:10" ht="16.5" customHeight="1">
      <c r="B23" s="42"/>
      <c r="C23" s="47" t="s">
        <v>433</v>
      </c>
      <c r="D23" s="48" t="e">
        <f ca="1">INDIRECT("決算書!E3７")</f>
        <v>#REF!</v>
      </c>
      <c r="E23" s="99">
        <v>40000</v>
      </c>
      <c r="F23" s="84"/>
      <c r="G23" s="55">
        <f t="shared" si="1"/>
        <v>40000</v>
      </c>
      <c r="H23" s="54" t="s">
        <v>438</v>
      </c>
      <c r="I23" s="34" t="s">
        <v>435</v>
      </c>
    </row>
    <row r="24" spans="2:10" ht="16.5" customHeight="1">
      <c r="B24" s="42"/>
      <c r="C24" s="47" t="s">
        <v>431</v>
      </c>
      <c r="D24" s="48" t="e">
        <f ca="1">INDIRECT("決算書!E3８")</f>
        <v>#REF!</v>
      </c>
      <c r="E24" s="99">
        <v>30000</v>
      </c>
      <c r="F24" s="84">
        <v>30000</v>
      </c>
      <c r="G24" s="55">
        <f t="shared" si="1"/>
        <v>0</v>
      </c>
      <c r="H24" s="54"/>
      <c r="I24" s="34" t="s">
        <v>434</v>
      </c>
    </row>
    <row r="25" spans="2:10" ht="16.5" customHeight="1">
      <c r="B25" s="51"/>
      <c r="C25" s="47" t="s">
        <v>432</v>
      </c>
      <c r="D25" s="48" t="e">
        <f ca="1">INDIRECT("決算書!E3９")</f>
        <v>#REF!</v>
      </c>
      <c r="E25" s="99">
        <v>100000</v>
      </c>
      <c r="F25" s="84">
        <v>200000</v>
      </c>
      <c r="G25" s="55">
        <f t="shared" si="1"/>
        <v>-100000</v>
      </c>
      <c r="H25" s="54" t="s">
        <v>151</v>
      </c>
      <c r="I25" s="34" t="s">
        <v>437</v>
      </c>
    </row>
    <row r="26" spans="2:10" ht="16.5" customHeight="1">
      <c r="B26" s="42"/>
      <c r="C26" s="34"/>
      <c r="D26" s="48"/>
      <c r="E26" s="31"/>
      <c r="F26" s="31"/>
      <c r="G26" s="89"/>
      <c r="H26" s="53"/>
      <c r="I26" s="34"/>
    </row>
    <row r="27" spans="2:10" ht="16.5" customHeight="1">
      <c r="B27" s="42" t="s">
        <v>8</v>
      </c>
      <c r="C27" s="34" t="s">
        <v>23</v>
      </c>
      <c r="D27" s="93">
        <f ca="1">INDIRECT("決算書!E40")</f>
        <v>40000</v>
      </c>
      <c r="E27" s="85">
        <f>SUM(E28)</f>
        <v>528000</v>
      </c>
      <c r="F27" s="85">
        <v>495000</v>
      </c>
      <c r="G27" s="89">
        <f t="shared" si="1"/>
        <v>33000</v>
      </c>
      <c r="H27" s="53"/>
      <c r="I27" s="32"/>
    </row>
    <row r="28" spans="2:10" ht="16.5" customHeight="1">
      <c r="B28" s="51"/>
      <c r="C28" s="47" t="s">
        <v>54</v>
      </c>
      <c r="D28" s="90" t="e">
        <f ca="1">INDIRECT("決算書!E4２")</f>
        <v>#REF!</v>
      </c>
      <c r="E28" s="99">
        <v>528000</v>
      </c>
      <c r="F28" s="84">
        <v>495000</v>
      </c>
      <c r="G28" s="55">
        <f t="shared" si="1"/>
        <v>33000</v>
      </c>
      <c r="H28" s="54" t="s">
        <v>443</v>
      </c>
      <c r="I28" s="34" t="s">
        <v>444</v>
      </c>
    </row>
    <row r="29" spans="2:10" ht="16.5" customHeight="1">
      <c r="B29" s="42" t="s">
        <v>11</v>
      </c>
      <c r="C29" s="34" t="s">
        <v>24</v>
      </c>
      <c r="D29" s="93" t="e">
        <f ca="1">INDIRECT("決算書!E4４")</f>
        <v>#REF!</v>
      </c>
      <c r="E29" s="85">
        <f>SUM(E30:E39)</f>
        <v>4460000</v>
      </c>
      <c r="F29" s="85">
        <v>4160000</v>
      </c>
      <c r="G29" s="89">
        <f t="shared" si="1"/>
        <v>300000</v>
      </c>
      <c r="H29" s="53"/>
      <c r="I29" s="34" t="s">
        <v>447</v>
      </c>
    </row>
    <row r="30" spans="2:10" ht="16.5" customHeight="1">
      <c r="B30" s="42"/>
      <c r="C30" s="47" t="s">
        <v>25</v>
      </c>
      <c r="D30" s="90">
        <f ca="1">INDIRECT("決算書!E45")</f>
        <v>0</v>
      </c>
      <c r="E30" s="99">
        <v>100000</v>
      </c>
      <c r="F30" s="84">
        <v>100000</v>
      </c>
      <c r="G30" s="55">
        <f t="shared" si="1"/>
        <v>0</v>
      </c>
      <c r="H30" s="54" t="s">
        <v>445</v>
      </c>
      <c r="I30" s="32"/>
    </row>
    <row r="31" spans="2:10" ht="17.25" customHeight="1">
      <c r="B31" s="42"/>
      <c r="C31" s="69" t="s">
        <v>55</v>
      </c>
      <c r="D31" s="90">
        <f ca="1">INDIRECT("決算書!E46")</f>
        <v>0</v>
      </c>
      <c r="E31" s="99">
        <v>1300000</v>
      </c>
      <c r="F31" s="84">
        <v>1000000</v>
      </c>
      <c r="G31" s="55">
        <f>E31-F31</f>
        <v>300000</v>
      </c>
      <c r="H31" s="70" t="s">
        <v>78</v>
      </c>
      <c r="I31" s="34" t="s">
        <v>446</v>
      </c>
    </row>
    <row r="32" spans="2:10" ht="16.5" customHeight="1">
      <c r="B32" s="42"/>
      <c r="C32" s="47" t="s">
        <v>56</v>
      </c>
      <c r="D32" s="90">
        <f ca="1">INDIRECT("決算書!E47")</f>
        <v>0</v>
      </c>
      <c r="E32" s="99">
        <v>450000</v>
      </c>
      <c r="F32" s="84">
        <v>450000</v>
      </c>
      <c r="G32" s="55">
        <f t="shared" si="1"/>
        <v>0</v>
      </c>
      <c r="H32" s="54" t="s">
        <v>75</v>
      </c>
      <c r="I32" s="94" t="s">
        <v>448</v>
      </c>
    </row>
    <row r="33" spans="2:10" ht="16.5" customHeight="1">
      <c r="B33" s="42"/>
      <c r="C33" s="47" t="s">
        <v>57</v>
      </c>
      <c r="D33" s="90">
        <f ca="1">INDIRECT("決算書!E48")</f>
        <v>154850</v>
      </c>
      <c r="E33" s="99">
        <v>100000</v>
      </c>
      <c r="F33" s="84">
        <v>100000</v>
      </c>
      <c r="G33" s="55">
        <f t="shared" si="1"/>
        <v>0</v>
      </c>
      <c r="H33" s="54" t="s">
        <v>58</v>
      </c>
      <c r="I33" s="34"/>
      <c r="J33" s="8"/>
    </row>
    <row r="34" spans="2:10" ht="16.5" customHeight="1">
      <c r="B34" s="42"/>
      <c r="C34" s="69" t="s">
        <v>59</v>
      </c>
      <c r="D34" s="90">
        <f ca="1">INDIRECT("決算書!E49")</f>
        <v>24200</v>
      </c>
      <c r="E34" s="99">
        <v>550000</v>
      </c>
      <c r="F34" s="84">
        <v>550000</v>
      </c>
      <c r="G34" s="55">
        <f t="shared" si="1"/>
        <v>0</v>
      </c>
      <c r="H34" s="71" t="s">
        <v>80</v>
      </c>
      <c r="I34" s="34" t="s">
        <v>81</v>
      </c>
    </row>
    <row r="35" spans="2:10" ht="16.5" customHeight="1">
      <c r="B35" s="42"/>
      <c r="C35" s="72" t="s">
        <v>69</v>
      </c>
      <c r="D35" s="90">
        <f ca="1">INDIRECT("決算書!E50")</f>
        <v>54100</v>
      </c>
      <c r="E35" s="99">
        <v>350000</v>
      </c>
      <c r="F35" s="84">
        <v>350000</v>
      </c>
      <c r="G35" s="55">
        <f t="shared" si="1"/>
        <v>0</v>
      </c>
      <c r="H35" s="54" t="s">
        <v>60</v>
      </c>
      <c r="I35" s="94" t="s">
        <v>448</v>
      </c>
    </row>
    <row r="36" spans="2:10" ht="16.5" customHeight="1">
      <c r="B36" s="42"/>
      <c r="C36" s="47" t="s">
        <v>61</v>
      </c>
      <c r="D36" s="90">
        <f ca="1">INDIRECT("決算書!E51")</f>
        <v>76550</v>
      </c>
      <c r="E36" s="99">
        <v>1300000</v>
      </c>
      <c r="F36" s="84">
        <v>1300000</v>
      </c>
      <c r="G36" s="55">
        <f t="shared" si="1"/>
        <v>0</v>
      </c>
      <c r="H36" s="54" t="s">
        <v>67</v>
      </c>
      <c r="I36" s="34"/>
    </row>
    <row r="37" spans="2:10" ht="16.5" customHeight="1">
      <c r="B37" s="42"/>
      <c r="C37" s="47" t="s">
        <v>26</v>
      </c>
      <c r="D37" s="90">
        <f ca="1">INDIRECT("決算書!E52")</f>
        <v>138000</v>
      </c>
      <c r="E37" s="99">
        <v>100000</v>
      </c>
      <c r="F37" s="84">
        <v>100000</v>
      </c>
      <c r="G37" s="55">
        <f>E37-F37</f>
        <v>0</v>
      </c>
      <c r="H37" s="54" t="s">
        <v>58</v>
      </c>
      <c r="I37" s="94" t="s">
        <v>462</v>
      </c>
    </row>
    <row r="38" spans="2:10" ht="16.5" customHeight="1">
      <c r="B38" s="42"/>
      <c r="C38" s="47" t="s">
        <v>27</v>
      </c>
      <c r="D38" s="90">
        <f ca="1">INDIRECT("決算書!E53")</f>
        <v>138000</v>
      </c>
      <c r="E38" s="99">
        <v>150000</v>
      </c>
      <c r="F38" s="84">
        <v>150000</v>
      </c>
      <c r="G38" s="55">
        <f t="shared" si="1"/>
        <v>0</v>
      </c>
      <c r="H38" s="54" t="s">
        <v>72</v>
      </c>
      <c r="I38" s="94" t="s">
        <v>462</v>
      </c>
    </row>
    <row r="39" spans="2:10" ht="16.5" customHeight="1">
      <c r="B39" s="51"/>
      <c r="C39" s="47" t="s">
        <v>28</v>
      </c>
      <c r="D39" s="90">
        <f ca="1">INDIRECT("決算書!E54")</f>
        <v>308750</v>
      </c>
      <c r="E39" s="99">
        <v>60000</v>
      </c>
      <c r="F39" s="84">
        <v>60000</v>
      </c>
      <c r="G39" s="55">
        <f t="shared" si="1"/>
        <v>0</v>
      </c>
      <c r="H39" s="54"/>
      <c r="I39" s="94" t="s">
        <v>462</v>
      </c>
    </row>
    <row r="40" spans="2:10" ht="16.5" customHeight="1">
      <c r="B40" s="42" t="s">
        <v>14</v>
      </c>
      <c r="C40" s="34" t="s">
        <v>29</v>
      </c>
      <c r="D40" s="93" t="e">
        <f ca="1">INDIRECT("決算書!E5６")</f>
        <v>#REF!</v>
      </c>
      <c r="E40" s="85">
        <f>SUM(E41:E43)</f>
        <v>350000</v>
      </c>
      <c r="F40" s="85">
        <v>380000</v>
      </c>
      <c r="G40" s="89">
        <f t="shared" si="1"/>
        <v>-30000</v>
      </c>
      <c r="H40" s="54"/>
    </row>
    <row r="41" spans="2:10" ht="16.5" customHeight="1">
      <c r="B41" s="42"/>
      <c r="C41" s="47" t="s">
        <v>30</v>
      </c>
      <c r="D41" s="90" t="e">
        <f ca="1">INDIRECT("決算書!E5７")</f>
        <v>#REF!</v>
      </c>
      <c r="E41" s="99">
        <v>30000</v>
      </c>
      <c r="F41" s="84">
        <v>20000</v>
      </c>
      <c r="G41" s="55">
        <f t="shared" si="1"/>
        <v>10000</v>
      </c>
      <c r="H41" s="54" t="s">
        <v>73</v>
      </c>
      <c r="I41" s="34"/>
    </row>
    <row r="42" spans="2:10" ht="16.5" customHeight="1">
      <c r="B42" s="42"/>
      <c r="C42" s="47" t="s">
        <v>31</v>
      </c>
      <c r="D42" s="90" t="e">
        <f ca="1">INDIRECT("決算書!E5８")</f>
        <v>#REF!</v>
      </c>
      <c r="E42" s="99">
        <v>240000</v>
      </c>
      <c r="F42" s="84">
        <v>280000</v>
      </c>
      <c r="G42" s="55">
        <f t="shared" si="1"/>
        <v>-40000</v>
      </c>
      <c r="H42" s="54" t="s">
        <v>77</v>
      </c>
      <c r="I42" s="34" t="s">
        <v>463</v>
      </c>
    </row>
    <row r="43" spans="2:10" ht="16.5" customHeight="1">
      <c r="B43" s="51"/>
      <c r="C43" s="47" t="s">
        <v>32</v>
      </c>
      <c r="D43" s="90" t="e">
        <f ca="1">INDIRECT("決算書!E5９")</f>
        <v>#REF!</v>
      </c>
      <c r="E43" s="99">
        <v>80000</v>
      </c>
      <c r="F43" s="84">
        <v>80000</v>
      </c>
      <c r="G43" s="55">
        <f t="shared" si="1"/>
        <v>0</v>
      </c>
      <c r="H43" s="54"/>
      <c r="I43" s="34"/>
    </row>
    <row r="44" spans="2:10" ht="16.5" customHeight="1">
      <c r="B44" s="42" t="s">
        <v>33</v>
      </c>
      <c r="C44" s="34" t="s">
        <v>34</v>
      </c>
      <c r="D44" s="93" t="e">
        <f ca="1">INDIRECT("決算書!E６１")</f>
        <v>#REF!</v>
      </c>
      <c r="E44" s="85">
        <f>SUM(E45)</f>
        <v>130000</v>
      </c>
      <c r="F44" s="85">
        <v>130000</v>
      </c>
      <c r="G44" s="89">
        <f>E44-F44</f>
        <v>0</v>
      </c>
      <c r="H44" s="53"/>
    </row>
    <row r="45" spans="2:10" ht="16.5" customHeight="1">
      <c r="B45" s="51"/>
      <c r="C45" s="47" t="s">
        <v>35</v>
      </c>
      <c r="D45" s="90" t="e">
        <f ca="1">INDIRECT("決算書!E６２")</f>
        <v>#REF!</v>
      </c>
      <c r="E45" s="99">
        <v>130000</v>
      </c>
      <c r="F45" s="84">
        <v>130000</v>
      </c>
      <c r="G45" s="55">
        <f t="shared" si="1"/>
        <v>0</v>
      </c>
      <c r="H45" s="54"/>
      <c r="I45" s="34" t="s">
        <v>449</v>
      </c>
    </row>
    <row r="46" spans="2:10" ht="16.5" customHeight="1">
      <c r="B46" s="42" t="s">
        <v>36</v>
      </c>
      <c r="C46" s="34" t="s">
        <v>37</v>
      </c>
      <c r="D46" s="93" t="e">
        <f ca="1">SUM(D47)</f>
        <v>#REF!</v>
      </c>
      <c r="E46" s="85">
        <f>SUM(E47)</f>
        <v>200000</v>
      </c>
      <c r="F46" s="85">
        <v>200000</v>
      </c>
      <c r="G46" s="89">
        <f t="shared" si="1"/>
        <v>0</v>
      </c>
      <c r="H46" s="53"/>
    </row>
    <row r="47" spans="2:10" ht="16.5" customHeight="1">
      <c r="B47" s="51"/>
      <c r="C47" s="47" t="s">
        <v>38</v>
      </c>
      <c r="D47" s="90" t="e">
        <f ca="1">INDIRECT("決算書!E６５")</f>
        <v>#REF!</v>
      </c>
      <c r="E47" s="99">
        <v>200000</v>
      </c>
      <c r="F47" s="84">
        <v>200000</v>
      </c>
      <c r="G47" s="55">
        <f t="shared" si="1"/>
        <v>0</v>
      </c>
      <c r="H47" s="54" t="s">
        <v>68</v>
      </c>
      <c r="I47" s="34" t="s">
        <v>449</v>
      </c>
    </row>
    <row r="48" spans="2:10" ht="16.5" customHeight="1">
      <c r="B48" s="42" t="s">
        <v>39</v>
      </c>
      <c r="C48" s="34" t="s">
        <v>40</v>
      </c>
      <c r="D48" s="93"/>
      <c r="E48" s="85">
        <v>5771521</v>
      </c>
      <c r="F48" s="85">
        <v>3959226</v>
      </c>
      <c r="G48" s="89">
        <f t="shared" si="1"/>
        <v>1812295</v>
      </c>
      <c r="H48" s="53"/>
      <c r="I48" s="34" t="s">
        <v>464</v>
      </c>
    </row>
    <row r="49" spans="2:9" ht="16.5" customHeight="1" thickBot="1">
      <c r="B49" s="51"/>
      <c r="C49" s="61"/>
      <c r="D49" s="91"/>
      <c r="E49" s="95"/>
      <c r="F49" s="86"/>
      <c r="G49" s="73"/>
      <c r="H49" s="74"/>
      <c r="I49" s="34"/>
    </row>
    <row r="50" spans="2:9" ht="16.5" customHeight="1" thickTop="1">
      <c r="B50" s="64" t="s">
        <v>16</v>
      </c>
      <c r="C50" s="65" t="s">
        <v>41</v>
      </c>
      <c r="D50" s="92"/>
      <c r="E50" s="96">
        <f>E20+E27+E29+E40+E44+E46+E48</f>
        <v>11839521</v>
      </c>
      <c r="F50" s="97">
        <f>F20+F27+F29+F40+F44+F46+F48</f>
        <v>9784226</v>
      </c>
      <c r="G50" s="98">
        <f>E50-F50</f>
        <v>2055295</v>
      </c>
      <c r="H50" s="75"/>
      <c r="I50" s="34"/>
    </row>
    <row r="51" spans="2:9">
      <c r="B51" s="31"/>
      <c r="C51" s="31"/>
      <c r="D51" s="31"/>
      <c r="E51" s="31"/>
      <c r="F51" s="31"/>
      <c r="G51" s="31"/>
      <c r="H51" s="31"/>
      <c r="I51" s="31"/>
    </row>
    <row r="52" spans="2:9">
      <c r="B52" s="31"/>
      <c r="C52" s="31" t="s">
        <v>62</v>
      </c>
      <c r="D52" s="31"/>
      <c r="E52" s="31"/>
      <c r="F52" s="31"/>
      <c r="G52" s="31"/>
      <c r="H52" s="31"/>
      <c r="I52" s="31"/>
    </row>
    <row r="53" spans="2:9">
      <c r="E53"/>
      <c r="F53"/>
    </row>
    <row r="54" spans="2:9">
      <c r="C54" s="102" t="s">
        <v>451</v>
      </c>
      <c r="D54" s="102"/>
      <c r="E54" s="103">
        <f>E17</f>
        <v>11839521</v>
      </c>
      <c r="F54"/>
    </row>
    <row r="55" spans="2:9">
      <c r="C55" s="104" t="s">
        <v>452</v>
      </c>
      <c r="D55" s="104" t="s">
        <v>450</v>
      </c>
      <c r="E55" s="103">
        <f>E20+E27+E29+E40+E44+E46</f>
        <v>6068000</v>
      </c>
      <c r="F55"/>
    </row>
    <row r="56" spans="2:9">
      <c r="C56" s="102" t="s">
        <v>453</v>
      </c>
      <c r="D56" s="102"/>
      <c r="E56" s="103">
        <f>E54-E55</f>
        <v>5771521</v>
      </c>
      <c r="F56"/>
    </row>
    <row r="57" spans="2:9">
      <c r="E57"/>
      <c r="F57"/>
    </row>
    <row r="58" spans="2:9">
      <c r="E58"/>
      <c r="F58"/>
    </row>
  </sheetData>
  <mergeCells count="1">
    <mergeCell ref="B2:H2"/>
  </mergeCells>
  <phoneticPr fontId="2"/>
  <pageMargins left="0.46" right="0.11" top="0.86" bottom="0.59" header="0.25" footer="0.34"/>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60"/>
  <sheetViews>
    <sheetView topLeftCell="A36" zoomScaleNormal="100" workbookViewId="0">
      <selection activeCell="G45" sqref="G45"/>
    </sheetView>
  </sheetViews>
  <sheetFormatPr defaultColWidth="11" defaultRowHeight="18" customHeight="1"/>
  <cols>
    <col min="1" max="1" width="2.08984375" style="3" customWidth="1"/>
    <col min="2" max="2" width="5.7265625" style="11" customWidth="1"/>
    <col min="3" max="3" width="21.81640625" style="11" customWidth="1"/>
    <col min="4" max="4" width="13.26953125" style="11" customWidth="1"/>
    <col min="5" max="6" width="15.6328125" style="11" customWidth="1"/>
    <col min="7" max="7" width="57.08984375" style="11" customWidth="1"/>
    <col min="8" max="8" width="9.90625" style="11" bestFit="1" customWidth="1"/>
    <col min="9" max="16384" width="11" style="3"/>
  </cols>
  <sheetData>
    <row r="1" spans="1:25" s="1" customFormat="1" ht="30.5" customHeight="1">
      <c r="A1" s="128"/>
      <c r="B1" s="191" t="s">
        <v>522</v>
      </c>
      <c r="C1" s="191"/>
      <c r="D1" s="191"/>
      <c r="E1" s="191"/>
      <c r="F1" s="191"/>
      <c r="G1" s="191"/>
      <c r="H1" s="120"/>
      <c r="I1" s="2"/>
      <c r="J1" s="2"/>
      <c r="K1" s="2"/>
      <c r="L1" s="2"/>
      <c r="M1" s="2"/>
      <c r="N1" s="2"/>
      <c r="O1" s="2"/>
      <c r="P1" s="2"/>
      <c r="Q1" s="2"/>
      <c r="R1" s="2"/>
      <c r="S1" s="2"/>
      <c r="T1" s="2"/>
      <c r="U1" s="2"/>
      <c r="V1" s="2"/>
      <c r="W1" s="2"/>
      <c r="X1" s="2"/>
      <c r="Y1" s="2"/>
    </row>
    <row r="2" spans="1:25" ht="20" customHeight="1">
      <c r="A2" s="128"/>
      <c r="B2" s="127"/>
      <c r="C2" s="129"/>
      <c r="D2" s="127"/>
      <c r="E2" s="127"/>
      <c r="F2" s="127"/>
      <c r="G2" s="130" t="s">
        <v>521</v>
      </c>
      <c r="H2" s="9"/>
    </row>
    <row r="3" spans="1:25" ht="20" customHeight="1">
      <c r="A3" s="128"/>
      <c r="B3" s="127"/>
      <c r="C3" s="129"/>
      <c r="D3" s="127"/>
      <c r="E3" s="127"/>
      <c r="F3" s="127"/>
      <c r="G3" s="130" t="s">
        <v>505</v>
      </c>
      <c r="H3" s="9"/>
    </row>
    <row r="4" spans="1:25" ht="20" customHeight="1">
      <c r="A4" s="128">
        <v>1</v>
      </c>
      <c r="B4" s="126" t="s">
        <v>496</v>
      </c>
      <c r="C4" s="127"/>
      <c r="D4" s="127"/>
      <c r="E4" s="125" t="s">
        <v>142</v>
      </c>
      <c r="G4" s="131"/>
      <c r="H4" s="9"/>
    </row>
    <row r="5" spans="1:25" ht="16">
      <c r="A5" s="128"/>
      <c r="B5" s="132"/>
      <c r="C5" s="133" t="s">
        <v>506</v>
      </c>
      <c r="D5" s="133"/>
      <c r="E5" s="134">
        <f>E25</f>
        <v>10618117</v>
      </c>
      <c r="F5" s="133"/>
      <c r="G5" s="185" t="s">
        <v>508</v>
      </c>
      <c r="H5" s="9"/>
    </row>
    <row r="6" spans="1:25" ht="16">
      <c r="A6" s="128"/>
      <c r="B6" s="135"/>
      <c r="C6" s="131" t="s">
        <v>117</v>
      </c>
      <c r="D6" s="131"/>
      <c r="E6" s="131"/>
      <c r="F6" s="136">
        <f>E56</f>
        <v>3722891</v>
      </c>
      <c r="G6" s="186" t="s">
        <v>507</v>
      </c>
      <c r="H6" s="9"/>
    </row>
    <row r="7" spans="1:25" ht="16.5" thickBot="1">
      <c r="A7" s="128"/>
      <c r="B7" s="137"/>
      <c r="C7" s="138" t="s">
        <v>97</v>
      </c>
      <c r="D7" s="138"/>
      <c r="E7" s="138"/>
      <c r="F7" s="139">
        <f>預金口座の残高!F7</f>
        <v>6895226</v>
      </c>
      <c r="G7" s="187" t="s">
        <v>519</v>
      </c>
      <c r="H7" s="9"/>
    </row>
    <row r="8" spans="1:25" ht="20" customHeight="1" thickTop="1">
      <c r="A8" s="128"/>
      <c r="B8" s="140"/>
      <c r="C8" s="141"/>
      <c r="D8" s="141"/>
      <c r="E8" s="141">
        <f>SUM(E5:E6)</f>
        <v>10618117</v>
      </c>
      <c r="F8" s="141">
        <f>SUM(F6:F7)</f>
        <v>10618117</v>
      </c>
      <c r="G8" s="142"/>
      <c r="H8" s="9"/>
    </row>
    <row r="9" spans="1:25" ht="16">
      <c r="A9" s="128"/>
      <c r="B9" s="127"/>
      <c r="C9" s="131" t="s">
        <v>520</v>
      </c>
      <c r="E9" s="131"/>
      <c r="F9" s="188">
        <f>E8-F8</f>
        <v>0</v>
      </c>
      <c r="G9" s="184"/>
      <c r="H9" s="9"/>
    </row>
    <row r="10" spans="1:25" ht="20" customHeight="1">
      <c r="A10" s="128">
        <v>2</v>
      </c>
      <c r="B10" s="126" t="s">
        <v>504</v>
      </c>
      <c r="C10" s="131"/>
      <c r="D10" s="131"/>
      <c r="E10" s="131"/>
      <c r="F10" s="131"/>
      <c r="G10" s="131"/>
      <c r="H10" s="9"/>
    </row>
    <row r="11" spans="1:25" s="4" customFormat="1" ht="20" customHeight="1">
      <c r="A11" s="128"/>
      <c r="B11" s="127"/>
      <c r="C11" s="129" t="s">
        <v>0</v>
      </c>
      <c r="D11" s="127"/>
      <c r="E11" s="124" t="s">
        <v>161</v>
      </c>
      <c r="G11" s="123"/>
      <c r="H11" s="9"/>
      <c r="I11" s="5"/>
    </row>
    <row r="12" spans="1:25" s="4" customFormat="1" ht="20" customHeight="1">
      <c r="A12" s="128"/>
      <c r="B12" s="132"/>
      <c r="C12" s="143" t="s">
        <v>91</v>
      </c>
      <c r="D12" s="144" t="s">
        <v>374</v>
      </c>
      <c r="E12" s="144" t="s">
        <v>375</v>
      </c>
      <c r="F12" s="144" t="s">
        <v>153</v>
      </c>
      <c r="G12" s="145" t="s">
        <v>70</v>
      </c>
      <c r="H12" s="119"/>
      <c r="I12" s="5"/>
    </row>
    <row r="13" spans="1:25" s="4" customFormat="1" ht="20" customHeight="1">
      <c r="A13" s="128"/>
      <c r="B13" s="132" t="s">
        <v>2</v>
      </c>
      <c r="C13" s="143" t="s">
        <v>3</v>
      </c>
      <c r="D13" s="146">
        <f>D14+D15+D16+D17</f>
        <v>2859000</v>
      </c>
      <c r="E13" s="146">
        <f>SUM(E14:E17)</f>
        <v>2982000</v>
      </c>
      <c r="F13" s="147">
        <f t="shared" ref="F13:F21" si="0">E13-D13</f>
        <v>123000</v>
      </c>
      <c r="G13" s="148" t="s">
        <v>411</v>
      </c>
      <c r="H13" s="9"/>
      <c r="I13" s="5"/>
    </row>
    <row r="14" spans="1:25" s="4" customFormat="1" ht="20" customHeight="1">
      <c r="A14" s="128"/>
      <c r="B14" s="135"/>
      <c r="C14" s="127" t="s">
        <v>4</v>
      </c>
      <c r="D14" s="149">
        <v>1892000</v>
      </c>
      <c r="E14" s="149">
        <f>Get小計("収入/会費/A会員")</f>
        <v>2001000</v>
      </c>
      <c r="F14" s="150">
        <f t="shared" si="0"/>
        <v>109000</v>
      </c>
      <c r="G14" s="151" t="s">
        <v>412</v>
      </c>
      <c r="H14" s="9"/>
      <c r="I14" s="13"/>
    </row>
    <row r="15" spans="1:25" s="4" customFormat="1" ht="20" customHeight="1">
      <c r="A15" s="128"/>
      <c r="B15" s="135"/>
      <c r="C15" s="127" t="s">
        <v>5</v>
      </c>
      <c r="D15" s="149">
        <v>897000</v>
      </c>
      <c r="E15" s="149">
        <f>Get小計("収入/会費/B会員")</f>
        <v>851000</v>
      </c>
      <c r="F15" s="150">
        <f t="shared" si="0"/>
        <v>-46000</v>
      </c>
      <c r="G15" s="151" t="s">
        <v>439</v>
      </c>
      <c r="H15" s="9"/>
      <c r="I15" s="13"/>
    </row>
    <row r="16" spans="1:25" s="4" customFormat="1" ht="20" customHeight="1">
      <c r="A16" s="128"/>
      <c r="B16" s="135"/>
      <c r="C16" s="127" t="s">
        <v>6</v>
      </c>
      <c r="D16" s="149">
        <v>70000</v>
      </c>
      <c r="E16" s="149">
        <f>Get小計("収入/会費/C会員")</f>
        <v>120000</v>
      </c>
      <c r="F16" s="150">
        <f t="shared" si="0"/>
        <v>50000</v>
      </c>
      <c r="G16" s="151" t="s">
        <v>440</v>
      </c>
      <c r="H16" s="9"/>
      <c r="I16" s="13"/>
    </row>
    <row r="17" spans="1:10" s="4" customFormat="1" ht="20" customHeight="1">
      <c r="A17" s="128"/>
      <c r="B17" s="140"/>
      <c r="C17" s="141" t="s">
        <v>7</v>
      </c>
      <c r="D17" s="152">
        <v>0</v>
      </c>
      <c r="E17" s="152">
        <f>Get小計("収入/会費/D会員")</f>
        <v>10000</v>
      </c>
      <c r="F17" s="153">
        <f t="shared" si="0"/>
        <v>10000</v>
      </c>
      <c r="G17" s="154" t="s">
        <v>413</v>
      </c>
      <c r="H17" s="9"/>
      <c r="I17" s="5"/>
      <c r="J17" s="6"/>
    </row>
    <row r="18" spans="1:10" s="4" customFormat="1" ht="20" customHeight="1">
      <c r="A18" s="128"/>
      <c r="B18" s="135" t="s">
        <v>8</v>
      </c>
      <c r="C18" s="127" t="s">
        <v>9</v>
      </c>
      <c r="D18" s="155">
        <f>D19+D20+D21</f>
        <v>901000</v>
      </c>
      <c r="E18" s="155">
        <f>SUM(E19:E21)</f>
        <v>1214059</v>
      </c>
      <c r="F18" s="156">
        <f t="shared" si="0"/>
        <v>313059</v>
      </c>
      <c r="G18" s="151"/>
      <c r="H18" s="9"/>
      <c r="I18" s="5"/>
    </row>
    <row r="19" spans="1:10" s="4" customFormat="1" ht="32">
      <c r="A19" s="128"/>
      <c r="B19" s="135"/>
      <c r="C19" s="127" t="s">
        <v>10</v>
      </c>
      <c r="D19" s="149">
        <v>800000</v>
      </c>
      <c r="E19" s="149">
        <f>Get小計("収入/雑収入/広告料収入")</f>
        <v>850000</v>
      </c>
      <c r="F19" s="150">
        <f t="shared" si="0"/>
        <v>50000</v>
      </c>
      <c r="G19" s="151" t="s">
        <v>415</v>
      </c>
      <c r="H19" s="9"/>
      <c r="I19" s="14"/>
    </row>
    <row r="20" spans="1:10" s="4" customFormat="1" ht="16">
      <c r="A20" s="128"/>
      <c r="B20" s="135"/>
      <c r="C20" s="127" t="s">
        <v>89</v>
      </c>
      <c r="D20" s="149">
        <v>0</v>
      </c>
      <c r="E20" s="149">
        <f>Get小計("収入/雑収入/セミナー参加料")</f>
        <v>364000</v>
      </c>
      <c r="F20" s="150">
        <f t="shared" si="0"/>
        <v>364000</v>
      </c>
      <c r="G20" s="151" t="s">
        <v>417</v>
      </c>
      <c r="H20" s="9"/>
      <c r="I20" s="13"/>
    </row>
    <row r="21" spans="1:10" s="4" customFormat="1" ht="20" customHeight="1">
      <c r="A21" s="128"/>
      <c r="B21" s="135"/>
      <c r="C21" s="127" t="s">
        <v>90</v>
      </c>
      <c r="D21" s="149">
        <v>101000</v>
      </c>
      <c r="E21" s="149">
        <f>Get小計("収入/雑収入/雑収入")</f>
        <v>59</v>
      </c>
      <c r="F21" s="150">
        <f t="shared" si="0"/>
        <v>-100941</v>
      </c>
      <c r="G21" s="151" t="s">
        <v>416</v>
      </c>
      <c r="H21" s="9"/>
      <c r="I21" s="13"/>
    </row>
    <row r="22" spans="1:10" s="4" customFormat="1" ht="20" customHeight="1">
      <c r="A22" s="128"/>
      <c r="B22" s="132" t="s">
        <v>11</v>
      </c>
      <c r="C22" s="143" t="s">
        <v>12</v>
      </c>
      <c r="D22" s="146">
        <f>D23</f>
        <v>165000</v>
      </c>
      <c r="E22" s="146">
        <f>SUM(E23:E23)</f>
        <v>565000</v>
      </c>
      <c r="F22" s="147" t="s">
        <v>156</v>
      </c>
      <c r="G22" s="148"/>
      <c r="H22" s="9"/>
      <c r="I22" s="5"/>
    </row>
    <row r="23" spans="1:10" s="4" customFormat="1" ht="20" customHeight="1">
      <c r="A23" s="128"/>
      <c r="B23" s="140"/>
      <c r="C23" s="157" t="s">
        <v>13</v>
      </c>
      <c r="D23" s="152">
        <v>165000</v>
      </c>
      <c r="E23" s="152">
        <v>565000</v>
      </c>
      <c r="F23" s="153">
        <f>E23-D23</f>
        <v>400000</v>
      </c>
      <c r="G23" s="154" t="s">
        <v>414</v>
      </c>
      <c r="H23" s="9"/>
      <c r="I23" s="13"/>
    </row>
    <row r="24" spans="1:10" s="4" customFormat="1" ht="20" customHeight="1" thickBot="1">
      <c r="A24" s="128"/>
      <c r="B24" s="158">
        <v>4</v>
      </c>
      <c r="C24" s="159" t="s">
        <v>155</v>
      </c>
      <c r="D24" s="160">
        <v>5859226</v>
      </c>
      <c r="E24" s="160">
        <v>5857058</v>
      </c>
      <c r="F24" s="161">
        <f>E24-D24</f>
        <v>-2168</v>
      </c>
      <c r="G24" s="162"/>
      <c r="H24" s="9"/>
      <c r="I24" s="13"/>
    </row>
    <row r="25" spans="1:10" s="4" customFormat="1" ht="20" customHeight="1" thickTop="1">
      <c r="A25" s="128"/>
      <c r="B25" s="140" t="s">
        <v>16</v>
      </c>
      <c r="C25" s="163" t="s">
        <v>17</v>
      </c>
      <c r="D25" s="164">
        <f>D13+D18+D22+D24</f>
        <v>9784226</v>
      </c>
      <c r="E25" s="164">
        <f>E13+E18+E22+E24</f>
        <v>10618117</v>
      </c>
      <c r="F25" s="153">
        <f>E25-D25</f>
        <v>833891</v>
      </c>
      <c r="G25" s="154"/>
      <c r="H25" s="9"/>
      <c r="I25" s="5"/>
      <c r="J25" s="7"/>
    </row>
    <row r="26" spans="1:10" s="4" customFormat="1" ht="20" customHeight="1">
      <c r="A26" s="128"/>
      <c r="B26" s="127"/>
      <c r="C26" s="127"/>
      <c r="D26" s="165"/>
      <c r="E26" s="165"/>
      <c r="F26" s="150"/>
      <c r="G26" s="127"/>
      <c r="H26" s="9"/>
      <c r="I26" s="5"/>
      <c r="J26" s="7"/>
    </row>
    <row r="27" spans="1:10" s="4" customFormat="1" ht="20" customHeight="1">
      <c r="A27" s="128"/>
      <c r="B27" s="127"/>
      <c r="C27" s="129" t="s">
        <v>18</v>
      </c>
      <c r="D27" s="127"/>
      <c r="E27" s="127"/>
      <c r="F27" s="127"/>
      <c r="G27" s="127"/>
      <c r="H27" s="9"/>
      <c r="I27" s="5"/>
    </row>
    <row r="28" spans="1:10" s="4" customFormat="1" ht="20" customHeight="1">
      <c r="A28" s="128"/>
      <c r="B28" s="166"/>
      <c r="C28" s="167" t="s">
        <v>91</v>
      </c>
      <c r="D28" s="168" t="s">
        <v>523</v>
      </c>
      <c r="E28" s="168" t="s">
        <v>375</v>
      </c>
      <c r="F28" s="168" t="s">
        <v>149</v>
      </c>
      <c r="G28" s="169" t="s">
        <v>71</v>
      </c>
      <c r="H28" s="119"/>
      <c r="I28" s="5"/>
    </row>
    <row r="29" spans="1:10" s="4" customFormat="1" ht="20" customHeight="1">
      <c r="A29" s="128"/>
      <c r="B29" s="132" t="s">
        <v>2</v>
      </c>
      <c r="C29" s="143" t="s">
        <v>20</v>
      </c>
      <c r="D29" s="170">
        <f>SUM(D30:D34)</f>
        <v>460000</v>
      </c>
      <c r="E29" s="170">
        <f>SUM(E30:E34)</f>
        <v>263427</v>
      </c>
      <c r="F29" s="171">
        <f t="shared" ref="F29:F34" si="1">E29-D29</f>
        <v>-196573</v>
      </c>
      <c r="G29" s="148"/>
      <c r="H29" s="9"/>
      <c r="I29" s="5"/>
    </row>
    <row r="30" spans="1:10" s="4" customFormat="1" ht="20" customHeight="1">
      <c r="A30" s="128"/>
      <c r="B30" s="135"/>
      <c r="C30" s="127" t="s">
        <v>21</v>
      </c>
      <c r="D30" s="165">
        <v>30000</v>
      </c>
      <c r="E30" s="165">
        <f>Get小計("支出/事務費/事務手当")</f>
        <v>0</v>
      </c>
      <c r="F30" s="172">
        <f t="shared" si="1"/>
        <v>-30000</v>
      </c>
      <c r="G30" s="173"/>
      <c r="H30" s="9"/>
      <c r="I30" s="5"/>
    </row>
    <row r="31" spans="1:10" s="4" customFormat="1" ht="20" customHeight="1">
      <c r="A31" s="128"/>
      <c r="B31" s="135"/>
      <c r="C31" s="127" t="s">
        <v>22</v>
      </c>
      <c r="D31" s="165">
        <v>200000</v>
      </c>
      <c r="E31" s="165">
        <f>Get小計("支出/事務費/通信費")</f>
        <v>145486</v>
      </c>
      <c r="F31" s="172">
        <f t="shared" si="1"/>
        <v>-54514</v>
      </c>
      <c r="G31" s="151" t="s">
        <v>95</v>
      </c>
      <c r="H31" s="9"/>
      <c r="I31" s="13"/>
    </row>
    <row r="32" spans="1:10" s="4" customFormat="1" ht="20" customHeight="1">
      <c r="A32" s="128"/>
      <c r="B32" s="135"/>
      <c r="C32" s="127" t="s">
        <v>94</v>
      </c>
      <c r="D32" s="165"/>
      <c r="E32" s="165">
        <f>Get小計("支出/事務費/振込手数料")</f>
        <v>35420</v>
      </c>
      <c r="F32" s="172">
        <f t="shared" si="1"/>
        <v>35420</v>
      </c>
      <c r="G32" s="151"/>
      <c r="H32" s="9"/>
      <c r="I32" s="13"/>
    </row>
    <row r="33" spans="1:11" s="4" customFormat="1" ht="20" customHeight="1">
      <c r="A33" s="128"/>
      <c r="B33" s="135"/>
      <c r="C33" s="127" t="s">
        <v>92</v>
      </c>
      <c r="D33" s="165">
        <v>30000</v>
      </c>
      <c r="E33" s="165">
        <f>Get小計("支出/事務費/交通費")</f>
        <v>47550</v>
      </c>
      <c r="F33" s="172">
        <f t="shared" si="1"/>
        <v>17550</v>
      </c>
      <c r="G33" s="173"/>
      <c r="H33" s="9"/>
      <c r="I33" s="13"/>
    </row>
    <row r="34" spans="1:11" s="4" customFormat="1" ht="16">
      <c r="A34" s="128"/>
      <c r="B34" s="140"/>
      <c r="C34" s="163" t="s">
        <v>93</v>
      </c>
      <c r="D34" s="164">
        <v>200000</v>
      </c>
      <c r="E34" s="164">
        <f>Get小計("支出/事務費/消耗品費")</f>
        <v>34971</v>
      </c>
      <c r="F34" s="174">
        <f t="shared" si="1"/>
        <v>-165029</v>
      </c>
      <c r="G34" s="154" t="s">
        <v>419</v>
      </c>
      <c r="H34" s="9"/>
      <c r="I34" s="12"/>
    </row>
    <row r="35" spans="1:11" s="4" customFormat="1" ht="20" customHeight="1">
      <c r="A35" s="128"/>
      <c r="B35" s="132" t="s">
        <v>8</v>
      </c>
      <c r="C35" s="143" t="s">
        <v>23</v>
      </c>
      <c r="D35" s="170">
        <f>D36</f>
        <v>495000</v>
      </c>
      <c r="E35" s="170">
        <f>E36</f>
        <v>0</v>
      </c>
      <c r="F35" s="147">
        <f t="shared" ref="F35:F42" si="2">E35-D35</f>
        <v>-495000</v>
      </c>
      <c r="G35" s="148"/>
      <c r="H35" s="9"/>
      <c r="I35" s="5"/>
    </row>
    <row r="36" spans="1:11" s="4" customFormat="1" ht="32">
      <c r="A36" s="128"/>
      <c r="B36" s="140"/>
      <c r="C36" s="163" t="s">
        <v>509</v>
      </c>
      <c r="D36" s="164">
        <v>495000</v>
      </c>
      <c r="E36" s="164">
        <v>0</v>
      </c>
      <c r="F36" s="153">
        <f t="shared" si="2"/>
        <v>-495000</v>
      </c>
      <c r="G36" s="154" t="s">
        <v>512</v>
      </c>
      <c r="H36" s="9"/>
      <c r="I36" s="13"/>
    </row>
    <row r="37" spans="1:11" s="4" customFormat="1" ht="20" customHeight="1">
      <c r="A37" s="128"/>
      <c r="B37" s="135" t="s">
        <v>11</v>
      </c>
      <c r="C37" s="127" t="s">
        <v>24</v>
      </c>
      <c r="D37" s="175">
        <f>SUM(D38:D47)</f>
        <v>4160000</v>
      </c>
      <c r="E37" s="175">
        <f>SUM(E38:E47)</f>
        <v>2857864</v>
      </c>
      <c r="F37" s="176">
        <f t="shared" si="2"/>
        <v>-1302136</v>
      </c>
      <c r="G37" s="151"/>
      <c r="H37" s="9"/>
      <c r="I37" s="5"/>
    </row>
    <row r="38" spans="1:11" s="4" customFormat="1" ht="20" customHeight="1">
      <c r="A38" s="128"/>
      <c r="B38" s="135"/>
      <c r="C38" s="127" t="s">
        <v>25</v>
      </c>
      <c r="D38" s="165">
        <v>100000</v>
      </c>
      <c r="E38" s="165">
        <f>Get小計("支出/事業費/庶務費")</f>
        <v>64328</v>
      </c>
      <c r="F38" s="172">
        <f t="shared" si="2"/>
        <v>-35672</v>
      </c>
      <c r="G38" s="151"/>
      <c r="H38" s="9"/>
      <c r="I38" s="13"/>
      <c r="K38" s="7"/>
    </row>
    <row r="39" spans="1:11" s="4" customFormat="1" ht="16">
      <c r="A39" s="128"/>
      <c r="B39" s="135"/>
      <c r="C39" s="127" t="s">
        <v>63</v>
      </c>
      <c r="D39" s="165">
        <v>1000000</v>
      </c>
      <c r="E39" s="165">
        <f>Get小計("支出/事業費/学術費")</f>
        <v>1259336</v>
      </c>
      <c r="F39" s="172">
        <f t="shared" si="2"/>
        <v>259336</v>
      </c>
      <c r="G39" s="151" t="s">
        <v>387</v>
      </c>
      <c r="H39" s="9"/>
      <c r="I39" s="13"/>
    </row>
    <row r="40" spans="1:11" s="4" customFormat="1" ht="20" customHeight="1">
      <c r="A40" s="128"/>
      <c r="B40" s="135"/>
      <c r="C40" s="177" t="s">
        <v>64</v>
      </c>
      <c r="D40" s="165">
        <v>450000</v>
      </c>
      <c r="E40" s="165">
        <f>Get小計("支出/事業費/社会保険費")</f>
        <v>40000</v>
      </c>
      <c r="F40" s="172">
        <f t="shared" si="2"/>
        <v>-410000</v>
      </c>
      <c r="G40" s="151" t="s">
        <v>79</v>
      </c>
      <c r="H40" s="9"/>
      <c r="I40" s="13"/>
    </row>
    <row r="41" spans="1:11" s="4" customFormat="1" ht="20" customHeight="1">
      <c r="A41" s="128"/>
      <c r="B41" s="135"/>
      <c r="C41" s="127" t="s">
        <v>57</v>
      </c>
      <c r="D41" s="165">
        <v>100000</v>
      </c>
      <c r="E41" s="165">
        <f>Get小計("支出/事業費/学校保健費")</f>
        <v>24800</v>
      </c>
      <c r="F41" s="172">
        <f t="shared" si="2"/>
        <v>-75200</v>
      </c>
      <c r="G41" s="151" t="s">
        <v>83</v>
      </c>
      <c r="H41" s="9"/>
      <c r="I41" s="5"/>
    </row>
    <row r="42" spans="1:11" s="4" customFormat="1" ht="20" customHeight="1">
      <c r="A42" s="128"/>
      <c r="B42" s="135"/>
      <c r="C42" s="177" t="s">
        <v>65</v>
      </c>
      <c r="D42" s="165">
        <v>550000</v>
      </c>
      <c r="E42" s="165">
        <f>Get小計("支出/事業費/公衆衛生費")</f>
        <v>540000</v>
      </c>
      <c r="F42" s="172">
        <f t="shared" si="2"/>
        <v>-10000</v>
      </c>
      <c r="G42" s="151" t="s">
        <v>96</v>
      </c>
      <c r="H42" s="9"/>
      <c r="I42" s="13"/>
    </row>
    <row r="43" spans="1:11" s="4" customFormat="1" ht="32">
      <c r="A43" s="128"/>
      <c r="B43" s="135"/>
      <c r="C43" s="178" t="s">
        <v>152</v>
      </c>
      <c r="D43" s="165">
        <v>350000</v>
      </c>
      <c r="E43" s="165">
        <f>Get小計("支出/事業費/眼科コ・メディカル関係費")</f>
        <v>100000</v>
      </c>
      <c r="F43" s="172">
        <f t="shared" ref="F43:F51" si="3">E43-D43</f>
        <v>-250000</v>
      </c>
      <c r="G43" s="173"/>
      <c r="H43" s="9"/>
      <c r="I43" s="13"/>
    </row>
    <row r="44" spans="1:11" s="4" customFormat="1" ht="16">
      <c r="A44" s="128"/>
      <c r="B44" s="135"/>
      <c r="C44" s="177" t="s">
        <v>66</v>
      </c>
      <c r="D44" s="165">
        <v>1300000</v>
      </c>
      <c r="E44" s="165">
        <f>Get小計("支出/事業費/広報費")</f>
        <v>829400</v>
      </c>
      <c r="F44" s="172">
        <f t="shared" si="3"/>
        <v>-470600</v>
      </c>
      <c r="G44" s="151" t="s">
        <v>524</v>
      </c>
      <c r="H44" s="9"/>
      <c r="I44" s="13"/>
    </row>
    <row r="45" spans="1:11" s="4" customFormat="1" ht="20" customHeight="1">
      <c r="A45" s="128"/>
      <c r="B45" s="135"/>
      <c r="C45" s="127" t="s">
        <v>26</v>
      </c>
      <c r="D45" s="165">
        <v>100000</v>
      </c>
      <c r="E45" s="165">
        <v>0</v>
      </c>
      <c r="F45" s="172">
        <f t="shared" si="3"/>
        <v>-100000</v>
      </c>
      <c r="G45" s="151" t="s">
        <v>510</v>
      </c>
      <c r="H45" s="9"/>
      <c r="I45" s="5"/>
    </row>
    <row r="46" spans="1:11" s="4" customFormat="1" ht="20" customHeight="1">
      <c r="A46" s="128"/>
      <c r="B46" s="135"/>
      <c r="C46" s="127" t="s">
        <v>27</v>
      </c>
      <c r="D46" s="165">
        <v>150000</v>
      </c>
      <c r="E46" s="165">
        <v>0</v>
      </c>
      <c r="F46" s="172">
        <f t="shared" si="3"/>
        <v>-150000</v>
      </c>
      <c r="G46" s="151" t="s">
        <v>510</v>
      </c>
      <c r="H46" s="9"/>
      <c r="I46" s="5"/>
    </row>
    <row r="47" spans="1:11" s="4" customFormat="1" ht="20" customHeight="1">
      <c r="A47" s="128"/>
      <c r="B47" s="135"/>
      <c r="C47" s="127" t="s">
        <v>28</v>
      </c>
      <c r="D47" s="165">
        <v>60000</v>
      </c>
      <c r="E47" s="165">
        <v>0</v>
      </c>
      <c r="F47" s="172">
        <f t="shared" si="3"/>
        <v>-60000</v>
      </c>
      <c r="G47" s="186" t="s">
        <v>510</v>
      </c>
      <c r="H47" s="121"/>
      <c r="I47" s="5"/>
    </row>
    <row r="48" spans="1:11" s="4" customFormat="1" ht="20" customHeight="1">
      <c r="A48" s="128"/>
      <c r="B48" s="132" t="s">
        <v>14</v>
      </c>
      <c r="C48" s="143" t="s">
        <v>29</v>
      </c>
      <c r="D48" s="170">
        <f>D49+D50+D51</f>
        <v>380000</v>
      </c>
      <c r="E48" s="170">
        <f>E49+E50+E51</f>
        <v>154850</v>
      </c>
      <c r="F48" s="171">
        <f>E48-D48</f>
        <v>-225150</v>
      </c>
      <c r="G48" s="148"/>
      <c r="H48" s="9"/>
      <c r="I48" s="12"/>
    </row>
    <row r="49" spans="1:9" s="4" customFormat="1" ht="20" customHeight="1">
      <c r="A49" s="128"/>
      <c r="B49" s="135"/>
      <c r="C49" s="127" t="s">
        <v>30</v>
      </c>
      <c r="D49" s="165">
        <v>20000</v>
      </c>
      <c r="E49" s="165">
        <f>Get小計("支出/会議費/総会費")</f>
        <v>24200</v>
      </c>
      <c r="F49" s="172">
        <f t="shared" si="3"/>
        <v>4200</v>
      </c>
      <c r="G49" s="151"/>
      <c r="H49" s="9"/>
      <c r="I49" s="13"/>
    </row>
    <row r="50" spans="1:9" s="4" customFormat="1" ht="16">
      <c r="A50" s="128"/>
      <c r="B50" s="135"/>
      <c r="C50" s="127" t="s">
        <v>31</v>
      </c>
      <c r="D50" s="165">
        <v>280000</v>
      </c>
      <c r="E50" s="165">
        <f>Get小計("支出/会議費/役員会費")</f>
        <v>54100</v>
      </c>
      <c r="F50" s="172">
        <f t="shared" si="3"/>
        <v>-225900</v>
      </c>
      <c r="G50" s="151" t="s">
        <v>511</v>
      </c>
      <c r="H50" s="9"/>
      <c r="I50" s="13"/>
    </row>
    <row r="51" spans="1:9" s="4" customFormat="1" ht="20" customHeight="1">
      <c r="A51" s="128"/>
      <c r="B51" s="179"/>
      <c r="C51" s="163" t="s">
        <v>32</v>
      </c>
      <c r="D51" s="164">
        <v>80000</v>
      </c>
      <c r="E51" s="164">
        <f>Get小計("支出/会議費/監査会費")</f>
        <v>76550</v>
      </c>
      <c r="F51" s="174">
        <f t="shared" si="3"/>
        <v>-3450</v>
      </c>
      <c r="G51" s="154" t="s">
        <v>418</v>
      </c>
      <c r="H51" s="9"/>
      <c r="I51" s="13"/>
    </row>
    <row r="52" spans="1:9" s="4" customFormat="1" ht="20" customHeight="1">
      <c r="A52" s="128"/>
      <c r="B52" s="132" t="s">
        <v>33</v>
      </c>
      <c r="C52" s="143" t="s">
        <v>34</v>
      </c>
      <c r="D52" s="170">
        <f>D53</f>
        <v>130000</v>
      </c>
      <c r="E52" s="170">
        <f>E53</f>
        <v>138000</v>
      </c>
      <c r="F52" s="171">
        <f>E52-D52</f>
        <v>8000</v>
      </c>
      <c r="G52" s="148"/>
      <c r="H52" s="9"/>
      <c r="I52" s="12"/>
    </row>
    <row r="53" spans="1:9" s="4" customFormat="1" ht="20" customHeight="1">
      <c r="A53" s="128"/>
      <c r="B53" s="179"/>
      <c r="C53" s="163" t="s">
        <v>35</v>
      </c>
      <c r="D53" s="164">
        <v>130000</v>
      </c>
      <c r="E53" s="164">
        <f>Get小計("支出/出張費/出張旅費補助")</f>
        <v>138000</v>
      </c>
      <c r="F53" s="174">
        <f>E53-D53</f>
        <v>8000</v>
      </c>
      <c r="G53" s="154" t="s">
        <v>76</v>
      </c>
      <c r="H53" s="9"/>
      <c r="I53" s="13"/>
    </row>
    <row r="54" spans="1:9" s="4" customFormat="1" ht="20" customHeight="1">
      <c r="A54" s="128"/>
      <c r="B54" s="135" t="s">
        <v>36</v>
      </c>
      <c r="C54" s="127" t="s">
        <v>37</v>
      </c>
      <c r="D54" s="175">
        <f>D55</f>
        <v>200000</v>
      </c>
      <c r="E54" s="175">
        <f>E55</f>
        <v>308750</v>
      </c>
      <c r="F54" s="156">
        <f>E54-D54</f>
        <v>108750</v>
      </c>
      <c r="G54" s="151"/>
      <c r="H54" s="9"/>
      <c r="I54" s="5"/>
    </row>
    <row r="55" spans="1:9" s="4" customFormat="1" ht="20" customHeight="1" thickBot="1">
      <c r="A55" s="128"/>
      <c r="B55" s="137"/>
      <c r="C55" s="180" t="s">
        <v>38</v>
      </c>
      <c r="D55" s="181">
        <v>200000</v>
      </c>
      <c r="E55" s="181">
        <f>Get小計("支出/慶弔費/慶弔費")</f>
        <v>308750</v>
      </c>
      <c r="F55" s="161">
        <f>E55-D55</f>
        <v>108750</v>
      </c>
      <c r="G55" s="162" t="s">
        <v>82</v>
      </c>
      <c r="H55" s="9"/>
      <c r="I55" s="15"/>
    </row>
    <row r="56" spans="1:9" ht="20" customHeight="1" thickTop="1">
      <c r="A56" s="128"/>
      <c r="B56" s="140" t="s">
        <v>16</v>
      </c>
      <c r="C56" s="163" t="s">
        <v>41</v>
      </c>
      <c r="D56" s="182">
        <f>D29+D35+D37+D48+D52+D54</f>
        <v>5825000</v>
      </c>
      <c r="E56" s="182">
        <f>E29+E35+E37+E48+E52+E54</f>
        <v>3722891</v>
      </c>
      <c r="F56" s="183">
        <f>E56-D56</f>
        <v>-2102109</v>
      </c>
      <c r="G56" s="142"/>
      <c r="H56" s="10"/>
    </row>
    <row r="57" spans="1:9" ht="18" customHeight="1">
      <c r="B57" s="9"/>
      <c r="C57" s="9"/>
      <c r="D57" s="25"/>
      <c r="E57" s="25"/>
      <c r="F57" s="26"/>
      <c r="G57" s="10"/>
      <c r="H57" s="10"/>
    </row>
    <row r="58" spans="1:9" ht="18" customHeight="1">
      <c r="B58" s="9"/>
      <c r="C58" s="118"/>
      <c r="D58" s="25"/>
      <c r="E58" s="25"/>
      <c r="F58" s="26"/>
      <c r="G58" s="10"/>
      <c r="H58" s="10"/>
    </row>
    <row r="59" spans="1:9" ht="18" customHeight="1">
      <c r="B59" s="9"/>
      <c r="C59" s="118"/>
      <c r="D59" s="25"/>
      <c r="E59" s="25"/>
      <c r="F59" s="26"/>
      <c r="G59" s="10"/>
      <c r="H59" s="122"/>
    </row>
    <row r="60" spans="1:9" ht="18" customHeight="1">
      <c r="B60" s="119"/>
      <c r="C60" s="118"/>
      <c r="D60" s="17"/>
      <c r="E60" s="17"/>
    </row>
  </sheetData>
  <mergeCells count="1">
    <mergeCell ref="B1:G1"/>
  </mergeCells>
  <phoneticPr fontId="2"/>
  <pageMargins left="0.78740157480314965" right="0.43307086614173229" top="0.6692913385826772" bottom="0.39370078740157483" header="0.19685039370078741" footer="0.51181102362204722"/>
  <pageSetup paperSize="9" scale="7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C76F8-9000-4362-A906-A0C18C423F00}">
  <sheetPr codeName="Sheet5">
    <pageSetUpPr fitToPage="1"/>
  </sheetPr>
  <dimension ref="A1:J322"/>
  <sheetViews>
    <sheetView topLeftCell="A99" workbookViewId="0">
      <selection activeCell="I78" sqref="I78"/>
    </sheetView>
  </sheetViews>
  <sheetFormatPr defaultRowHeight="13"/>
  <cols>
    <col min="1" max="1" width="22.6328125" customWidth="1"/>
    <col min="2" max="2" width="11.36328125" customWidth="1"/>
    <col min="3" max="3" width="11.90625" customWidth="1"/>
    <col min="4" max="4" width="11" customWidth="1"/>
    <col min="5" max="5" width="11.90625" customWidth="1"/>
    <col min="6" max="6" width="12.6328125" customWidth="1"/>
    <col min="7" max="7" width="15.54296875" customWidth="1"/>
    <col min="8" max="8" width="43.54296875" customWidth="1"/>
    <col min="9" max="10" width="11.1796875" customWidth="1"/>
  </cols>
  <sheetData>
    <row r="1" spans="1:10" ht="17.5" thickBot="1">
      <c r="A1" s="28" t="s">
        <v>138</v>
      </c>
    </row>
    <row r="2" spans="1:10" ht="13.5" thickTop="1">
      <c r="A2" t="s">
        <v>91</v>
      </c>
      <c r="B2" t="s">
        <v>497</v>
      </c>
      <c r="C2" t="s">
        <v>498</v>
      </c>
      <c r="D2" t="s">
        <v>499</v>
      </c>
      <c r="E2" t="s">
        <v>500</v>
      </c>
      <c r="F2" t="s">
        <v>501</v>
      </c>
      <c r="G2" t="s">
        <v>502</v>
      </c>
      <c r="H2" t="s">
        <v>503</v>
      </c>
      <c r="I2" t="s">
        <v>139</v>
      </c>
      <c r="J2" t="s">
        <v>140</v>
      </c>
    </row>
    <row r="3" spans="1:10">
      <c r="A3" t="s">
        <v>346</v>
      </c>
      <c r="I3" s="29">
        <v>0</v>
      </c>
      <c r="J3" s="29">
        <v>0</v>
      </c>
    </row>
    <row r="4" spans="1:10">
      <c r="A4" t="s">
        <v>159</v>
      </c>
      <c r="I4" s="29">
        <v>0</v>
      </c>
      <c r="J4" s="29">
        <v>76550</v>
      </c>
    </row>
    <row r="5" spans="1:10">
      <c r="A5" t="s">
        <v>491</v>
      </c>
      <c r="I5" s="29">
        <v>0</v>
      </c>
      <c r="J5" s="29">
        <v>24200</v>
      </c>
    </row>
    <row r="6" spans="1:10">
      <c r="A6" t="s">
        <v>489</v>
      </c>
      <c r="I6" s="29">
        <v>0</v>
      </c>
      <c r="J6" s="29">
        <v>54100</v>
      </c>
    </row>
    <row r="7" spans="1:10">
      <c r="A7" t="s">
        <v>127</v>
      </c>
      <c r="I7" s="29">
        <v>0</v>
      </c>
      <c r="J7" s="29">
        <v>308750</v>
      </c>
    </row>
    <row r="8" spans="1:10">
      <c r="A8" t="s">
        <v>136</v>
      </c>
      <c r="I8" s="29">
        <v>0</v>
      </c>
      <c r="J8" s="29">
        <v>24800</v>
      </c>
    </row>
    <row r="9" spans="1:10">
      <c r="A9" t="s">
        <v>125</v>
      </c>
      <c r="I9" s="29">
        <v>0</v>
      </c>
      <c r="J9" s="29">
        <v>1259336</v>
      </c>
    </row>
    <row r="10" spans="1:10">
      <c r="A10" t="s">
        <v>134</v>
      </c>
      <c r="I10" s="29">
        <v>0</v>
      </c>
      <c r="J10" s="29">
        <v>100000</v>
      </c>
    </row>
    <row r="11" spans="1:10">
      <c r="A11" t="s">
        <v>124</v>
      </c>
      <c r="I11" s="29">
        <v>0</v>
      </c>
      <c r="J11" s="29">
        <v>540000</v>
      </c>
    </row>
    <row r="12" spans="1:10">
      <c r="A12" t="s">
        <v>122</v>
      </c>
      <c r="I12" s="29">
        <v>0</v>
      </c>
      <c r="J12" s="29">
        <v>829400</v>
      </c>
    </row>
    <row r="13" spans="1:10">
      <c r="A13" t="s">
        <v>395</v>
      </c>
      <c r="I13" s="29">
        <v>0</v>
      </c>
      <c r="J13" s="29">
        <v>40000</v>
      </c>
    </row>
    <row r="14" spans="1:10">
      <c r="A14" t="s">
        <v>130</v>
      </c>
      <c r="I14" s="29">
        <v>0</v>
      </c>
      <c r="J14" s="29">
        <v>64328</v>
      </c>
    </row>
    <row r="15" spans="1:10">
      <c r="A15" t="s">
        <v>160</v>
      </c>
      <c r="I15" s="29">
        <v>0</v>
      </c>
      <c r="J15" s="29">
        <v>47550</v>
      </c>
    </row>
    <row r="16" spans="1:10">
      <c r="A16" t="s">
        <v>120</v>
      </c>
      <c r="I16" s="29">
        <v>0</v>
      </c>
      <c r="J16" s="29">
        <v>34971</v>
      </c>
    </row>
    <row r="17" spans="1:10">
      <c r="A17" t="s">
        <v>121</v>
      </c>
      <c r="I17" s="29">
        <v>0</v>
      </c>
      <c r="J17" s="29">
        <v>35420</v>
      </c>
    </row>
    <row r="18" spans="1:10">
      <c r="A18" t="s">
        <v>126</v>
      </c>
      <c r="I18" s="29">
        <v>0</v>
      </c>
      <c r="J18" s="29">
        <v>145486</v>
      </c>
    </row>
    <row r="19" spans="1:10">
      <c r="A19" t="s">
        <v>135</v>
      </c>
      <c r="I19" s="29">
        <v>0</v>
      </c>
      <c r="J19" s="29">
        <v>138000</v>
      </c>
    </row>
    <row r="20" spans="1:10">
      <c r="A20" t="s">
        <v>131</v>
      </c>
      <c r="I20" s="29">
        <v>2001000</v>
      </c>
      <c r="J20" s="29">
        <v>0</v>
      </c>
    </row>
    <row r="21" spans="1:10">
      <c r="A21" t="s">
        <v>129</v>
      </c>
      <c r="I21" s="29">
        <v>851000</v>
      </c>
      <c r="J21" s="29">
        <v>0</v>
      </c>
    </row>
    <row r="22" spans="1:10">
      <c r="A22" t="s">
        <v>378</v>
      </c>
      <c r="I22" s="29">
        <v>120000</v>
      </c>
      <c r="J22" s="29">
        <v>0</v>
      </c>
    </row>
    <row r="23" spans="1:10">
      <c r="A23" t="s">
        <v>225</v>
      </c>
      <c r="I23" s="29">
        <v>10000</v>
      </c>
      <c r="J23" s="29">
        <v>0</v>
      </c>
    </row>
    <row r="24" spans="1:10">
      <c r="A24" t="s">
        <v>123</v>
      </c>
      <c r="I24" s="29">
        <v>364000</v>
      </c>
      <c r="J24" s="29">
        <v>0</v>
      </c>
    </row>
    <row r="25" spans="1:10">
      <c r="A25" t="s">
        <v>128</v>
      </c>
      <c r="I25" s="29">
        <v>850000</v>
      </c>
      <c r="J25" s="29">
        <v>0</v>
      </c>
    </row>
    <row r="26" spans="1:10">
      <c r="A26" t="s">
        <v>132</v>
      </c>
      <c r="I26" s="29">
        <v>59</v>
      </c>
      <c r="J26" s="29">
        <v>0</v>
      </c>
    </row>
    <row r="27" spans="1:10">
      <c r="A27" t="s">
        <v>133</v>
      </c>
      <c r="I27" s="29">
        <v>565000</v>
      </c>
      <c r="J27" s="29">
        <v>0</v>
      </c>
    </row>
    <row r="28" spans="1:10">
      <c r="A28" t="s">
        <v>141</v>
      </c>
      <c r="I28" s="29">
        <f>SUBTOTAL(109,テーブル勘定科目ごとの小計[借方金額])</f>
        <v>4761059</v>
      </c>
      <c r="J28" s="29">
        <f>SUBTOTAL(109,テーブル勘定科目ごとの小計[貸方金額])</f>
        <v>3722891</v>
      </c>
    </row>
    <row r="32" spans="1:10" ht="17.5" thickBot="1">
      <c r="A32" s="28" t="s">
        <v>137</v>
      </c>
    </row>
    <row r="33" spans="1:10" ht="13.5" thickTop="1">
      <c r="A33" t="s">
        <v>91</v>
      </c>
      <c r="B33" t="s">
        <v>119</v>
      </c>
      <c r="C33" t="s">
        <v>143</v>
      </c>
      <c r="D33" t="s">
        <v>144</v>
      </c>
      <c r="E33" t="s">
        <v>145</v>
      </c>
      <c r="F33" t="s">
        <v>146</v>
      </c>
      <c r="G33" t="s">
        <v>147</v>
      </c>
      <c r="H33" t="s">
        <v>148</v>
      </c>
      <c r="I33" t="s">
        <v>139</v>
      </c>
      <c r="J33" t="s">
        <v>140</v>
      </c>
    </row>
    <row r="34" spans="1:10">
      <c r="A34" t="s">
        <v>346</v>
      </c>
      <c r="B34" s="27">
        <v>45219</v>
      </c>
      <c r="E34" t="s">
        <v>345</v>
      </c>
      <c r="H34" t="s">
        <v>347</v>
      </c>
      <c r="I34" s="29"/>
      <c r="J34" s="29">
        <v>181196</v>
      </c>
    </row>
    <row r="35" spans="1:10">
      <c r="A35" t="s">
        <v>346</v>
      </c>
      <c r="B35" s="27">
        <v>45226</v>
      </c>
      <c r="C35" t="s">
        <v>345</v>
      </c>
      <c r="H35" t="s">
        <v>348</v>
      </c>
      <c r="I35" s="29">
        <v>181196</v>
      </c>
      <c r="J35" s="29"/>
    </row>
    <row r="36" spans="1:10">
      <c r="A36" t="s">
        <v>159</v>
      </c>
      <c r="B36" s="27">
        <v>45019</v>
      </c>
      <c r="E36" t="s">
        <v>176</v>
      </c>
      <c r="F36" t="s">
        <v>177</v>
      </c>
      <c r="H36" t="s">
        <v>178</v>
      </c>
      <c r="I36" s="29"/>
      <c r="J36" s="29">
        <v>42000</v>
      </c>
    </row>
    <row r="37" spans="1:10">
      <c r="A37" t="s">
        <v>159</v>
      </c>
      <c r="B37" s="27">
        <v>45374</v>
      </c>
      <c r="E37" t="s">
        <v>176</v>
      </c>
      <c r="F37" t="s">
        <v>177</v>
      </c>
      <c r="H37" t="s">
        <v>515</v>
      </c>
      <c r="I37" s="29"/>
      <c r="J37" s="29">
        <v>34550</v>
      </c>
    </row>
    <row r="38" spans="1:10">
      <c r="A38" t="s">
        <v>491</v>
      </c>
      <c r="B38" s="27">
        <v>45340</v>
      </c>
      <c r="E38" t="s">
        <v>176</v>
      </c>
      <c r="F38" t="s">
        <v>490</v>
      </c>
      <c r="H38" t="s">
        <v>514</v>
      </c>
      <c r="I38" s="29"/>
      <c r="J38" s="29">
        <v>24200</v>
      </c>
    </row>
    <row r="39" spans="1:10">
      <c r="A39" t="s">
        <v>489</v>
      </c>
      <c r="B39" s="27">
        <v>45340</v>
      </c>
      <c r="E39" t="s">
        <v>176</v>
      </c>
      <c r="F39" t="s">
        <v>488</v>
      </c>
      <c r="H39" t="s">
        <v>513</v>
      </c>
      <c r="I39" s="29"/>
      <c r="J39" s="29">
        <v>54100</v>
      </c>
    </row>
    <row r="40" spans="1:10">
      <c r="A40" t="s">
        <v>127</v>
      </c>
      <c r="B40" s="27">
        <v>45120</v>
      </c>
      <c r="E40" t="s">
        <v>280</v>
      </c>
      <c r="F40" t="s">
        <v>280</v>
      </c>
      <c r="H40" t="s">
        <v>281</v>
      </c>
      <c r="I40" s="29"/>
      <c r="J40" s="29">
        <v>46200</v>
      </c>
    </row>
    <row r="41" spans="1:10">
      <c r="A41" t="s">
        <v>127</v>
      </c>
      <c r="B41" s="27">
        <v>45141</v>
      </c>
      <c r="E41" t="s">
        <v>280</v>
      </c>
      <c r="F41" t="s">
        <v>280</v>
      </c>
      <c r="H41" t="s">
        <v>304</v>
      </c>
      <c r="I41" s="29"/>
      <c r="J41" s="29">
        <v>20000</v>
      </c>
    </row>
    <row r="42" spans="1:10">
      <c r="A42" t="s">
        <v>127</v>
      </c>
      <c r="B42" s="27">
        <v>45323</v>
      </c>
      <c r="E42" t="s">
        <v>280</v>
      </c>
      <c r="F42" t="s">
        <v>280</v>
      </c>
      <c r="H42" t="s">
        <v>391</v>
      </c>
      <c r="I42" s="29"/>
      <c r="J42" s="29">
        <v>22550</v>
      </c>
    </row>
    <row r="43" spans="1:10">
      <c r="A43" t="s">
        <v>127</v>
      </c>
      <c r="B43" s="27">
        <v>45323</v>
      </c>
      <c r="E43" t="s">
        <v>280</v>
      </c>
      <c r="F43" t="s">
        <v>280</v>
      </c>
      <c r="H43" t="s">
        <v>393</v>
      </c>
      <c r="I43" s="29"/>
      <c r="J43" s="29">
        <v>20000</v>
      </c>
    </row>
    <row r="44" spans="1:10">
      <c r="A44" t="s">
        <v>127</v>
      </c>
      <c r="B44" s="27">
        <v>45343</v>
      </c>
      <c r="E44" t="s">
        <v>280</v>
      </c>
      <c r="F44" t="s">
        <v>280</v>
      </c>
      <c r="H44" t="s">
        <v>469</v>
      </c>
      <c r="I44" s="29"/>
      <c r="J44" s="29">
        <v>200000</v>
      </c>
    </row>
    <row r="45" spans="1:10">
      <c r="A45" t="s">
        <v>136</v>
      </c>
      <c r="B45" s="27">
        <v>45169</v>
      </c>
      <c r="E45" t="s">
        <v>164</v>
      </c>
      <c r="F45" t="s">
        <v>310</v>
      </c>
      <c r="H45" t="s">
        <v>311</v>
      </c>
      <c r="I45" s="29"/>
      <c r="J45" s="29">
        <v>24800</v>
      </c>
    </row>
    <row r="46" spans="1:10">
      <c r="A46" t="s">
        <v>125</v>
      </c>
      <c r="B46" s="27">
        <v>45019</v>
      </c>
      <c r="E46" t="s">
        <v>164</v>
      </c>
      <c r="F46" t="s">
        <v>171</v>
      </c>
      <c r="G46" t="s">
        <v>172</v>
      </c>
      <c r="H46" t="s">
        <v>173</v>
      </c>
      <c r="I46" s="29"/>
      <c r="J46" s="29">
        <v>200000</v>
      </c>
    </row>
    <row r="47" spans="1:10">
      <c r="A47" t="s">
        <v>125</v>
      </c>
      <c r="B47" s="27">
        <v>45019</v>
      </c>
      <c r="E47" t="s">
        <v>164</v>
      </c>
      <c r="F47" t="s">
        <v>171</v>
      </c>
      <c r="G47" t="s">
        <v>172</v>
      </c>
      <c r="H47" t="s">
        <v>174</v>
      </c>
      <c r="I47" s="29"/>
      <c r="J47" s="29">
        <v>100000</v>
      </c>
    </row>
    <row r="48" spans="1:10">
      <c r="A48" t="s">
        <v>125</v>
      </c>
      <c r="B48" s="27">
        <v>45019</v>
      </c>
      <c r="E48" t="s">
        <v>164</v>
      </c>
      <c r="F48" t="s">
        <v>171</v>
      </c>
      <c r="G48" t="s">
        <v>172</v>
      </c>
      <c r="H48" t="s">
        <v>175</v>
      </c>
      <c r="I48" s="29"/>
      <c r="J48" s="29">
        <v>50000</v>
      </c>
    </row>
    <row r="49" spans="1:10">
      <c r="A49" t="s">
        <v>125</v>
      </c>
      <c r="B49" s="27">
        <v>45073</v>
      </c>
      <c r="E49" t="s">
        <v>164</v>
      </c>
      <c r="F49" t="s">
        <v>171</v>
      </c>
      <c r="G49" t="s">
        <v>200</v>
      </c>
      <c r="H49" t="s">
        <v>384</v>
      </c>
      <c r="I49" s="29"/>
      <c r="J49" s="29">
        <v>22500</v>
      </c>
    </row>
    <row r="50" spans="1:10">
      <c r="A50" t="s">
        <v>125</v>
      </c>
      <c r="B50" s="27">
        <v>45095</v>
      </c>
      <c r="E50" t="s">
        <v>164</v>
      </c>
      <c r="F50" t="s">
        <v>171</v>
      </c>
      <c r="G50" t="s">
        <v>309</v>
      </c>
      <c r="H50" t="s">
        <v>382</v>
      </c>
      <c r="I50" s="29"/>
      <c r="J50" s="29">
        <v>4536</v>
      </c>
    </row>
    <row r="51" spans="1:10">
      <c r="A51" t="s">
        <v>125</v>
      </c>
      <c r="B51" s="27">
        <v>45095</v>
      </c>
      <c r="E51" t="s">
        <v>164</v>
      </c>
      <c r="F51" t="s">
        <v>171</v>
      </c>
      <c r="G51" t="s">
        <v>309</v>
      </c>
      <c r="H51" t="s">
        <v>383</v>
      </c>
      <c r="I51" s="29"/>
      <c r="J51" s="29">
        <v>48840</v>
      </c>
    </row>
    <row r="52" spans="1:10">
      <c r="A52" t="s">
        <v>125</v>
      </c>
      <c r="B52" s="27">
        <v>45106</v>
      </c>
      <c r="E52" t="s">
        <v>164</v>
      </c>
      <c r="F52" t="s">
        <v>171</v>
      </c>
      <c r="G52" t="s">
        <v>213</v>
      </c>
      <c r="H52" t="s">
        <v>388</v>
      </c>
      <c r="I52" s="29"/>
      <c r="J52" s="29">
        <v>200000</v>
      </c>
    </row>
    <row r="53" spans="1:10">
      <c r="A53" t="s">
        <v>125</v>
      </c>
      <c r="B53" s="27">
        <v>45160</v>
      </c>
      <c r="E53" t="s">
        <v>164</v>
      </c>
      <c r="F53" t="s">
        <v>171</v>
      </c>
      <c r="G53" t="s">
        <v>309</v>
      </c>
      <c r="H53" t="s">
        <v>380</v>
      </c>
      <c r="I53" s="29"/>
      <c r="J53" s="29">
        <v>75002</v>
      </c>
    </row>
    <row r="54" spans="1:10">
      <c r="A54" t="s">
        <v>125</v>
      </c>
      <c r="B54" s="27">
        <v>45160</v>
      </c>
      <c r="E54" t="s">
        <v>164</v>
      </c>
      <c r="F54" t="s">
        <v>171</v>
      </c>
      <c r="G54" t="s">
        <v>309</v>
      </c>
      <c r="H54" t="s">
        <v>381</v>
      </c>
      <c r="I54" s="29"/>
      <c r="J54" s="29">
        <v>30000</v>
      </c>
    </row>
    <row r="55" spans="1:10">
      <c r="A55" t="s">
        <v>125</v>
      </c>
      <c r="B55" s="27">
        <v>45181</v>
      </c>
      <c r="E55" t="s">
        <v>164</v>
      </c>
      <c r="F55" t="s">
        <v>171</v>
      </c>
      <c r="G55" t="s">
        <v>200</v>
      </c>
      <c r="H55" t="s">
        <v>386</v>
      </c>
      <c r="I55" s="29"/>
      <c r="J55" s="29">
        <v>100000</v>
      </c>
    </row>
    <row r="56" spans="1:10">
      <c r="A56" t="s">
        <v>125</v>
      </c>
      <c r="B56" s="27">
        <v>45193</v>
      </c>
      <c r="E56" t="s">
        <v>164</v>
      </c>
      <c r="F56" t="s">
        <v>171</v>
      </c>
      <c r="G56" t="s">
        <v>332</v>
      </c>
      <c r="H56" t="s">
        <v>333</v>
      </c>
      <c r="I56" s="29"/>
      <c r="J56" s="29">
        <v>100000</v>
      </c>
    </row>
    <row r="57" spans="1:10">
      <c r="A57" t="s">
        <v>125</v>
      </c>
      <c r="B57" s="27">
        <v>45193</v>
      </c>
      <c r="E57" t="s">
        <v>164</v>
      </c>
      <c r="F57" t="s">
        <v>171</v>
      </c>
      <c r="G57" t="s">
        <v>332</v>
      </c>
      <c r="H57" t="s">
        <v>334</v>
      </c>
      <c r="I57" s="29"/>
      <c r="J57" s="29">
        <v>50000</v>
      </c>
    </row>
    <row r="58" spans="1:10">
      <c r="A58" t="s">
        <v>125</v>
      </c>
      <c r="B58" s="27">
        <v>45193</v>
      </c>
      <c r="E58" t="s">
        <v>164</v>
      </c>
      <c r="F58" t="s">
        <v>171</v>
      </c>
      <c r="G58" t="s">
        <v>332</v>
      </c>
      <c r="H58" t="s">
        <v>336</v>
      </c>
      <c r="I58" s="29"/>
      <c r="J58" s="29">
        <v>7245</v>
      </c>
    </row>
    <row r="59" spans="1:10">
      <c r="A59" t="s">
        <v>125</v>
      </c>
      <c r="B59" s="27">
        <v>45193</v>
      </c>
      <c r="E59" t="s">
        <v>164</v>
      </c>
      <c r="F59" t="s">
        <v>171</v>
      </c>
      <c r="G59" t="s">
        <v>332</v>
      </c>
      <c r="H59" t="s">
        <v>337</v>
      </c>
      <c r="I59" s="29"/>
      <c r="J59" s="29">
        <v>2889</v>
      </c>
    </row>
    <row r="60" spans="1:10">
      <c r="A60" t="s">
        <v>125</v>
      </c>
      <c r="B60" s="27">
        <v>45193</v>
      </c>
      <c r="E60" t="s">
        <v>164</v>
      </c>
      <c r="F60" t="s">
        <v>171</v>
      </c>
      <c r="G60" t="s">
        <v>332</v>
      </c>
      <c r="H60" t="s">
        <v>338</v>
      </c>
      <c r="I60" s="29"/>
      <c r="J60" s="29">
        <v>9828</v>
      </c>
    </row>
    <row r="61" spans="1:10">
      <c r="A61" t="s">
        <v>125</v>
      </c>
      <c r="B61" s="27">
        <v>45193</v>
      </c>
      <c r="E61" t="s">
        <v>164</v>
      </c>
      <c r="F61" t="s">
        <v>171</v>
      </c>
      <c r="G61" t="s">
        <v>332</v>
      </c>
      <c r="H61" t="s">
        <v>349</v>
      </c>
      <c r="I61" s="29"/>
      <c r="J61" s="29">
        <v>36970</v>
      </c>
    </row>
    <row r="62" spans="1:10">
      <c r="A62" t="s">
        <v>125</v>
      </c>
      <c r="B62" s="27">
        <v>45193</v>
      </c>
      <c r="E62" t="s">
        <v>164</v>
      </c>
      <c r="F62" t="s">
        <v>171</v>
      </c>
      <c r="G62" t="s">
        <v>332</v>
      </c>
      <c r="H62" t="s">
        <v>350</v>
      </c>
      <c r="I62" s="29"/>
      <c r="J62" s="29">
        <v>20340</v>
      </c>
    </row>
    <row r="63" spans="1:10">
      <c r="A63" t="s">
        <v>125</v>
      </c>
      <c r="B63" s="27">
        <v>45193</v>
      </c>
      <c r="E63" t="s">
        <v>164</v>
      </c>
      <c r="F63" t="s">
        <v>171</v>
      </c>
      <c r="G63" t="s">
        <v>332</v>
      </c>
      <c r="H63" t="s">
        <v>351</v>
      </c>
      <c r="I63" s="29"/>
      <c r="J63" s="29">
        <v>15950</v>
      </c>
    </row>
    <row r="64" spans="1:10">
      <c r="A64" t="s">
        <v>125</v>
      </c>
      <c r="B64" s="27">
        <v>45193</v>
      </c>
      <c r="E64" t="s">
        <v>164</v>
      </c>
      <c r="F64" t="s">
        <v>171</v>
      </c>
      <c r="G64" t="s">
        <v>332</v>
      </c>
      <c r="H64" t="s">
        <v>352</v>
      </c>
      <c r="I64" s="29"/>
      <c r="J64" s="29">
        <v>25800</v>
      </c>
    </row>
    <row r="65" spans="1:10">
      <c r="A65" t="s">
        <v>125</v>
      </c>
      <c r="B65" s="27">
        <v>45193</v>
      </c>
      <c r="E65" t="s">
        <v>164</v>
      </c>
      <c r="F65" t="s">
        <v>171</v>
      </c>
      <c r="G65" t="s">
        <v>332</v>
      </c>
      <c r="H65" t="s">
        <v>353</v>
      </c>
      <c r="I65" s="29"/>
      <c r="J65" s="29">
        <v>5646</v>
      </c>
    </row>
    <row r="66" spans="1:10">
      <c r="A66" t="s">
        <v>125</v>
      </c>
      <c r="B66" s="27">
        <v>45193</v>
      </c>
      <c r="E66" t="s">
        <v>164</v>
      </c>
      <c r="F66" t="s">
        <v>171</v>
      </c>
      <c r="G66" t="s">
        <v>332</v>
      </c>
      <c r="H66" t="s">
        <v>354</v>
      </c>
      <c r="I66" s="29"/>
      <c r="J66" s="29">
        <v>12210</v>
      </c>
    </row>
    <row r="67" spans="1:10">
      <c r="A67" t="s">
        <v>125</v>
      </c>
      <c r="B67" s="27">
        <v>45193</v>
      </c>
      <c r="E67" t="s">
        <v>164</v>
      </c>
      <c r="F67" t="s">
        <v>171</v>
      </c>
      <c r="G67" t="s">
        <v>332</v>
      </c>
      <c r="H67" t="s">
        <v>355</v>
      </c>
      <c r="I67" s="29"/>
      <c r="J67" s="29">
        <v>14100</v>
      </c>
    </row>
    <row r="68" spans="1:10">
      <c r="A68" t="s">
        <v>125</v>
      </c>
      <c r="B68" s="27">
        <v>45193</v>
      </c>
      <c r="E68" t="s">
        <v>164</v>
      </c>
      <c r="F68" t="s">
        <v>171</v>
      </c>
      <c r="G68" t="s">
        <v>332</v>
      </c>
      <c r="H68" t="s">
        <v>356</v>
      </c>
      <c r="I68" s="29"/>
      <c r="J68" s="29">
        <v>23740</v>
      </c>
    </row>
    <row r="69" spans="1:10">
      <c r="A69" t="s">
        <v>125</v>
      </c>
      <c r="B69" s="27">
        <v>45193</v>
      </c>
      <c r="E69" t="s">
        <v>164</v>
      </c>
      <c r="F69" t="s">
        <v>171</v>
      </c>
      <c r="G69" t="s">
        <v>332</v>
      </c>
      <c r="H69" t="s">
        <v>357</v>
      </c>
      <c r="I69" s="29"/>
      <c r="J69" s="29">
        <v>23740</v>
      </c>
    </row>
    <row r="70" spans="1:10">
      <c r="A70" t="s">
        <v>125</v>
      </c>
      <c r="B70" s="27">
        <v>45195</v>
      </c>
      <c r="E70" t="s">
        <v>164</v>
      </c>
      <c r="F70" t="s">
        <v>171</v>
      </c>
      <c r="G70" t="s">
        <v>332</v>
      </c>
      <c r="H70" t="s">
        <v>339</v>
      </c>
      <c r="I70" s="29"/>
      <c r="J70" s="29">
        <v>30000</v>
      </c>
    </row>
    <row r="71" spans="1:10">
      <c r="A71" t="s">
        <v>125</v>
      </c>
      <c r="B71" s="27">
        <v>45195</v>
      </c>
      <c r="E71" t="s">
        <v>164</v>
      </c>
      <c r="F71" t="s">
        <v>171</v>
      </c>
      <c r="G71" t="s">
        <v>332</v>
      </c>
      <c r="H71" t="s">
        <v>340</v>
      </c>
      <c r="I71" s="29"/>
      <c r="J71" s="29">
        <v>10000</v>
      </c>
    </row>
    <row r="72" spans="1:10">
      <c r="A72" t="s">
        <v>125</v>
      </c>
      <c r="B72" s="27">
        <v>45258</v>
      </c>
      <c r="E72" t="s">
        <v>164</v>
      </c>
      <c r="F72" t="s">
        <v>171</v>
      </c>
      <c r="G72" t="s">
        <v>359</v>
      </c>
      <c r="H72" t="s">
        <v>360</v>
      </c>
      <c r="I72" s="29"/>
      <c r="J72" s="29">
        <v>32000</v>
      </c>
    </row>
    <row r="73" spans="1:10">
      <c r="A73" t="s">
        <v>125</v>
      </c>
      <c r="B73" s="27">
        <v>45258</v>
      </c>
      <c r="E73" t="s">
        <v>164</v>
      </c>
      <c r="F73" t="s">
        <v>171</v>
      </c>
      <c r="G73" t="s">
        <v>359</v>
      </c>
      <c r="H73" t="s">
        <v>361</v>
      </c>
      <c r="I73" s="29"/>
      <c r="J73" s="29">
        <v>8000</v>
      </c>
    </row>
    <row r="74" spans="1:10">
      <c r="A74" t="s">
        <v>134</v>
      </c>
      <c r="B74" s="27">
        <v>45113</v>
      </c>
      <c r="E74" t="s">
        <v>164</v>
      </c>
      <c r="F74" t="s">
        <v>275</v>
      </c>
      <c r="H74" t="s">
        <v>276</v>
      </c>
      <c r="I74" s="29"/>
      <c r="J74" s="29">
        <v>100000</v>
      </c>
    </row>
    <row r="75" spans="1:10">
      <c r="A75" t="s">
        <v>124</v>
      </c>
      <c r="B75" s="27">
        <v>45181</v>
      </c>
      <c r="E75" t="s">
        <v>164</v>
      </c>
      <c r="F75" t="s">
        <v>312</v>
      </c>
      <c r="H75" t="s">
        <v>313</v>
      </c>
      <c r="I75" s="29"/>
      <c r="J75" s="29">
        <v>100000</v>
      </c>
    </row>
    <row r="76" spans="1:10">
      <c r="A76" t="s">
        <v>124</v>
      </c>
      <c r="B76" s="27">
        <v>45258</v>
      </c>
      <c r="E76" t="s">
        <v>164</v>
      </c>
      <c r="F76" t="s">
        <v>312</v>
      </c>
      <c r="H76" t="s">
        <v>358</v>
      </c>
      <c r="I76" s="29"/>
      <c r="J76" s="29">
        <v>440000</v>
      </c>
    </row>
    <row r="77" spans="1:10">
      <c r="A77" t="s">
        <v>122</v>
      </c>
      <c r="B77" s="27">
        <v>45019</v>
      </c>
      <c r="E77" t="s">
        <v>164</v>
      </c>
      <c r="F77" t="s">
        <v>165</v>
      </c>
      <c r="G77" t="s">
        <v>166</v>
      </c>
      <c r="H77" t="s">
        <v>167</v>
      </c>
      <c r="I77" s="29"/>
      <c r="J77" s="29">
        <v>17600</v>
      </c>
    </row>
    <row r="78" spans="1:10">
      <c r="A78" t="s">
        <v>122</v>
      </c>
      <c r="B78" s="27">
        <v>45085</v>
      </c>
      <c r="E78" t="s">
        <v>164</v>
      </c>
      <c r="F78" t="s">
        <v>165</v>
      </c>
      <c r="G78" t="s">
        <v>206</v>
      </c>
      <c r="H78" t="s">
        <v>207</v>
      </c>
      <c r="I78" s="29"/>
      <c r="J78" s="29">
        <v>396000</v>
      </c>
    </row>
    <row r="79" spans="1:10">
      <c r="A79" t="s">
        <v>122</v>
      </c>
      <c r="B79" s="27">
        <v>45258</v>
      </c>
      <c r="E79" t="s">
        <v>164</v>
      </c>
      <c r="F79" t="s">
        <v>165</v>
      </c>
      <c r="G79" t="s">
        <v>210</v>
      </c>
      <c r="H79" t="s">
        <v>362</v>
      </c>
      <c r="I79" s="29"/>
      <c r="J79" s="29">
        <v>415800</v>
      </c>
    </row>
    <row r="80" spans="1:10">
      <c r="A80" t="s">
        <v>395</v>
      </c>
      <c r="B80" s="27">
        <v>45340</v>
      </c>
      <c r="E80" t="s">
        <v>164</v>
      </c>
      <c r="F80" t="s">
        <v>394</v>
      </c>
      <c r="H80" t="s">
        <v>396</v>
      </c>
      <c r="I80" s="29"/>
      <c r="J80" s="29">
        <v>10000</v>
      </c>
    </row>
    <row r="81" spans="1:10">
      <c r="A81" t="s">
        <v>395</v>
      </c>
      <c r="B81" s="27">
        <v>45340</v>
      </c>
      <c r="E81" t="s">
        <v>164</v>
      </c>
      <c r="F81" t="s">
        <v>394</v>
      </c>
      <c r="H81" t="s">
        <v>397</v>
      </c>
      <c r="I81" s="29"/>
      <c r="J81" s="29">
        <v>10000</v>
      </c>
    </row>
    <row r="82" spans="1:10">
      <c r="A82" t="s">
        <v>395</v>
      </c>
      <c r="B82" s="27">
        <v>45340</v>
      </c>
      <c r="E82" t="s">
        <v>164</v>
      </c>
      <c r="F82" t="s">
        <v>394</v>
      </c>
      <c r="H82" t="s">
        <v>398</v>
      </c>
      <c r="I82" s="29"/>
      <c r="J82" s="29">
        <v>10000</v>
      </c>
    </row>
    <row r="83" spans="1:10">
      <c r="A83" t="s">
        <v>395</v>
      </c>
      <c r="B83" s="27">
        <v>45340</v>
      </c>
      <c r="E83" t="s">
        <v>164</v>
      </c>
      <c r="F83" t="s">
        <v>394</v>
      </c>
      <c r="H83" t="s">
        <v>399</v>
      </c>
      <c r="I83" s="29"/>
      <c r="J83" s="29">
        <v>10000</v>
      </c>
    </row>
    <row r="84" spans="1:10">
      <c r="A84" t="s">
        <v>130</v>
      </c>
      <c r="B84" s="27">
        <v>45285</v>
      </c>
      <c r="E84" t="s">
        <v>164</v>
      </c>
      <c r="F84" t="s">
        <v>372</v>
      </c>
      <c r="H84" t="s">
        <v>373</v>
      </c>
      <c r="I84" s="29"/>
      <c r="J84" s="29">
        <v>64328</v>
      </c>
    </row>
    <row r="85" spans="1:10">
      <c r="A85" t="s">
        <v>160</v>
      </c>
      <c r="B85" s="27">
        <v>45020</v>
      </c>
      <c r="E85" t="s">
        <v>168</v>
      </c>
      <c r="F85" t="s">
        <v>192</v>
      </c>
      <c r="H85" t="s">
        <v>193</v>
      </c>
      <c r="I85" s="29"/>
      <c r="J85" s="29">
        <v>1870</v>
      </c>
    </row>
    <row r="86" spans="1:10">
      <c r="A86" t="s">
        <v>160</v>
      </c>
      <c r="B86" s="27">
        <v>45020</v>
      </c>
      <c r="E86" t="s">
        <v>168</v>
      </c>
      <c r="F86" t="s">
        <v>192</v>
      </c>
      <c r="H86" t="s">
        <v>194</v>
      </c>
      <c r="I86" s="29"/>
      <c r="J86" s="29">
        <v>4910</v>
      </c>
    </row>
    <row r="87" spans="1:10">
      <c r="A87" t="s">
        <v>160</v>
      </c>
      <c r="B87" s="27">
        <v>45020</v>
      </c>
      <c r="E87" t="s">
        <v>168</v>
      </c>
      <c r="F87" t="s">
        <v>192</v>
      </c>
      <c r="H87" t="s">
        <v>195</v>
      </c>
      <c r="I87" s="29"/>
      <c r="J87" s="29">
        <v>2080</v>
      </c>
    </row>
    <row r="88" spans="1:10">
      <c r="A88" t="s">
        <v>160</v>
      </c>
      <c r="B88" s="27">
        <v>45032</v>
      </c>
      <c r="E88" t="s">
        <v>168</v>
      </c>
      <c r="F88" t="s">
        <v>192</v>
      </c>
      <c r="H88" t="s">
        <v>314</v>
      </c>
      <c r="I88" s="29"/>
      <c r="J88" s="29">
        <v>190</v>
      </c>
    </row>
    <row r="89" spans="1:10">
      <c r="A89" t="s">
        <v>160</v>
      </c>
      <c r="B89" s="27">
        <v>45032</v>
      </c>
      <c r="E89" t="s">
        <v>168</v>
      </c>
      <c r="F89" t="s">
        <v>192</v>
      </c>
      <c r="H89" t="s">
        <v>315</v>
      </c>
      <c r="I89" s="29"/>
      <c r="J89" s="29">
        <v>1870</v>
      </c>
    </row>
    <row r="90" spans="1:10">
      <c r="A90" t="s">
        <v>160</v>
      </c>
      <c r="B90" s="27">
        <v>45032</v>
      </c>
      <c r="E90" t="s">
        <v>168</v>
      </c>
      <c r="F90" t="s">
        <v>192</v>
      </c>
      <c r="H90" t="s">
        <v>316</v>
      </c>
      <c r="I90" s="29"/>
      <c r="J90" s="29">
        <v>1980</v>
      </c>
    </row>
    <row r="91" spans="1:10">
      <c r="A91" t="s">
        <v>160</v>
      </c>
      <c r="B91" s="27">
        <v>45032</v>
      </c>
      <c r="E91" t="s">
        <v>168</v>
      </c>
      <c r="F91" t="s">
        <v>192</v>
      </c>
      <c r="H91" t="s">
        <v>317</v>
      </c>
      <c r="I91" s="29"/>
      <c r="J91" s="29">
        <v>530</v>
      </c>
    </row>
    <row r="92" spans="1:10">
      <c r="A92" t="s">
        <v>160</v>
      </c>
      <c r="B92" s="27">
        <v>45032</v>
      </c>
      <c r="E92" t="s">
        <v>168</v>
      </c>
      <c r="F92" t="s">
        <v>192</v>
      </c>
      <c r="H92" t="s">
        <v>318</v>
      </c>
      <c r="I92" s="29"/>
      <c r="J92" s="29">
        <v>1980</v>
      </c>
    </row>
    <row r="93" spans="1:10">
      <c r="A93" t="s">
        <v>160</v>
      </c>
      <c r="B93" s="27">
        <v>45032</v>
      </c>
      <c r="E93" t="s">
        <v>168</v>
      </c>
      <c r="F93" t="s">
        <v>192</v>
      </c>
      <c r="H93" t="s">
        <v>319</v>
      </c>
      <c r="I93" s="29"/>
      <c r="J93" s="29">
        <v>1870</v>
      </c>
    </row>
    <row r="94" spans="1:10">
      <c r="A94" t="s">
        <v>160</v>
      </c>
      <c r="B94" s="27">
        <v>45032</v>
      </c>
      <c r="E94" t="s">
        <v>168</v>
      </c>
      <c r="F94" t="s">
        <v>192</v>
      </c>
      <c r="H94" t="s">
        <v>320</v>
      </c>
      <c r="I94" s="29"/>
      <c r="J94" s="29">
        <v>190</v>
      </c>
    </row>
    <row r="95" spans="1:10">
      <c r="A95" t="s">
        <v>160</v>
      </c>
      <c r="B95" s="27">
        <v>45195</v>
      </c>
      <c r="E95" t="s">
        <v>168</v>
      </c>
      <c r="F95" t="s">
        <v>192</v>
      </c>
      <c r="H95" t="s">
        <v>341</v>
      </c>
      <c r="I95" s="29"/>
      <c r="J95" s="29">
        <v>6780</v>
      </c>
    </row>
    <row r="96" spans="1:10">
      <c r="A96" t="s">
        <v>160</v>
      </c>
      <c r="B96" s="27">
        <v>45195</v>
      </c>
      <c r="E96" t="s">
        <v>168</v>
      </c>
      <c r="F96" t="s">
        <v>192</v>
      </c>
      <c r="H96" t="s">
        <v>342</v>
      </c>
      <c r="I96" s="29"/>
      <c r="J96" s="29">
        <v>2520</v>
      </c>
    </row>
    <row r="97" spans="1:10">
      <c r="A97" t="s">
        <v>160</v>
      </c>
      <c r="B97" s="27">
        <v>45195</v>
      </c>
      <c r="E97" t="s">
        <v>168</v>
      </c>
      <c r="F97" t="s">
        <v>192</v>
      </c>
      <c r="H97" t="s">
        <v>342</v>
      </c>
      <c r="I97" s="29"/>
      <c r="J97" s="29">
        <v>2520</v>
      </c>
    </row>
    <row r="98" spans="1:10">
      <c r="A98" t="s">
        <v>160</v>
      </c>
      <c r="B98" s="27">
        <v>45340</v>
      </c>
      <c r="E98" t="s">
        <v>168</v>
      </c>
      <c r="F98" t="s">
        <v>192</v>
      </c>
      <c r="H98" t="s">
        <v>475</v>
      </c>
      <c r="I98" s="29"/>
      <c r="J98" s="29">
        <v>6780</v>
      </c>
    </row>
    <row r="99" spans="1:10">
      <c r="A99" t="s">
        <v>160</v>
      </c>
      <c r="B99" s="27">
        <v>45340</v>
      </c>
      <c r="E99" t="s">
        <v>168</v>
      </c>
      <c r="F99" t="s">
        <v>192</v>
      </c>
      <c r="H99" t="s">
        <v>476</v>
      </c>
      <c r="I99" s="29"/>
      <c r="J99" s="29">
        <v>2530</v>
      </c>
    </row>
    <row r="100" spans="1:10">
      <c r="A100" t="s">
        <v>160</v>
      </c>
      <c r="B100" s="27">
        <v>45376</v>
      </c>
      <c r="E100" t="s">
        <v>168</v>
      </c>
      <c r="F100" t="s">
        <v>192</v>
      </c>
      <c r="H100" t="s">
        <v>517</v>
      </c>
      <c r="I100" s="29"/>
      <c r="J100" s="29">
        <v>6780</v>
      </c>
    </row>
    <row r="101" spans="1:10">
      <c r="A101" t="s">
        <v>160</v>
      </c>
      <c r="B101" s="27">
        <v>45376</v>
      </c>
      <c r="E101" t="s">
        <v>168</v>
      </c>
      <c r="F101" t="s">
        <v>192</v>
      </c>
      <c r="H101" t="s">
        <v>518</v>
      </c>
      <c r="I101" s="29"/>
      <c r="J101" s="29">
        <v>2170</v>
      </c>
    </row>
    <row r="102" spans="1:10">
      <c r="A102" t="s">
        <v>120</v>
      </c>
      <c r="B102" s="27">
        <v>45020</v>
      </c>
      <c r="E102" t="s">
        <v>168</v>
      </c>
      <c r="F102" t="s">
        <v>187</v>
      </c>
      <c r="H102" t="s">
        <v>188</v>
      </c>
      <c r="I102" s="29"/>
      <c r="J102" s="29">
        <v>3553</v>
      </c>
    </row>
    <row r="103" spans="1:10">
      <c r="A103" t="s">
        <v>120</v>
      </c>
      <c r="B103" s="27">
        <v>45035</v>
      </c>
      <c r="E103" t="s">
        <v>168</v>
      </c>
      <c r="F103" t="s">
        <v>187</v>
      </c>
      <c r="H103" t="s">
        <v>323</v>
      </c>
      <c r="I103" s="29"/>
      <c r="J103" s="29">
        <v>1903</v>
      </c>
    </row>
    <row r="104" spans="1:10">
      <c r="A104" t="s">
        <v>120</v>
      </c>
      <c r="B104" s="27">
        <v>45195</v>
      </c>
      <c r="E104" t="s">
        <v>168</v>
      </c>
      <c r="F104" t="s">
        <v>187</v>
      </c>
      <c r="H104" t="s">
        <v>343</v>
      </c>
      <c r="I104" s="29"/>
      <c r="J104" s="29">
        <v>30</v>
      </c>
    </row>
    <row r="105" spans="1:10">
      <c r="A105" t="s">
        <v>120</v>
      </c>
      <c r="B105" s="27">
        <v>45195</v>
      </c>
      <c r="E105" t="s">
        <v>168</v>
      </c>
      <c r="F105" t="s">
        <v>187</v>
      </c>
      <c r="H105" t="s">
        <v>343</v>
      </c>
      <c r="I105" s="29"/>
      <c r="J105" s="29">
        <v>30</v>
      </c>
    </row>
    <row r="106" spans="1:10">
      <c r="A106" t="s">
        <v>120</v>
      </c>
      <c r="B106" s="27">
        <v>45261</v>
      </c>
      <c r="E106" t="s">
        <v>168</v>
      </c>
      <c r="F106" t="s">
        <v>187</v>
      </c>
      <c r="H106" t="s">
        <v>365</v>
      </c>
      <c r="I106" s="29"/>
      <c r="J106" s="29">
        <v>2870</v>
      </c>
    </row>
    <row r="107" spans="1:10">
      <c r="A107" t="s">
        <v>120</v>
      </c>
      <c r="B107" s="27">
        <v>45264</v>
      </c>
      <c r="E107" t="s">
        <v>168</v>
      </c>
      <c r="F107" t="s">
        <v>187</v>
      </c>
      <c r="H107" t="s">
        <v>366</v>
      </c>
      <c r="I107" s="29"/>
      <c r="J107" s="29">
        <v>462</v>
      </c>
    </row>
    <row r="108" spans="1:10">
      <c r="A108" t="s">
        <v>120</v>
      </c>
      <c r="B108" s="27">
        <v>45273</v>
      </c>
      <c r="E108" t="s">
        <v>168</v>
      </c>
      <c r="F108" t="s">
        <v>187</v>
      </c>
      <c r="H108" t="s">
        <v>369</v>
      </c>
      <c r="I108" s="29"/>
      <c r="J108" s="29">
        <v>2541</v>
      </c>
    </row>
    <row r="109" spans="1:10">
      <c r="A109" t="s">
        <v>120</v>
      </c>
      <c r="B109" s="27">
        <v>45286</v>
      </c>
      <c r="E109" t="s">
        <v>168</v>
      </c>
      <c r="F109" t="s">
        <v>187</v>
      </c>
      <c r="H109" t="s">
        <v>479</v>
      </c>
      <c r="I109" s="29"/>
      <c r="J109" s="29">
        <v>7758</v>
      </c>
    </row>
    <row r="110" spans="1:10">
      <c r="A110" t="s">
        <v>120</v>
      </c>
      <c r="B110" s="27">
        <v>45301</v>
      </c>
      <c r="E110" t="s">
        <v>168</v>
      </c>
      <c r="F110" t="s">
        <v>187</v>
      </c>
      <c r="H110" t="s">
        <v>470</v>
      </c>
      <c r="I110" s="29"/>
      <c r="J110" s="29">
        <v>10525</v>
      </c>
    </row>
    <row r="111" spans="1:10">
      <c r="A111" t="s">
        <v>120</v>
      </c>
      <c r="B111" s="27">
        <v>45323</v>
      </c>
      <c r="E111" t="s">
        <v>168</v>
      </c>
      <c r="F111" t="s">
        <v>187</v>
      </c>
      <c r="H111" t="s">
        <v>472</v>
      </c>
      <c r="I111" s="29"/>
      <c r="J111" s="29">
        <v>30</v>
      </c>
    </row>
    <row r="112" spans="1:10">
      <c r="A112" t="s">
        <v>120</v>
      </c>
      <c r="B112" s="27">
        <v>45327</v>
      </c>
      <c r="E112" t="s">
        <v>168</v>
      </c>
      <c r="F112" t="s">
        <v>187</v>
      </c>
      <c r="H112" t="s">
        <v>473</v>
      </c>
      <c r="I112" s="29"/>
      <c r="J112" s="29">
        <v>3619</v>
      </c>
    </row>
    <row r="113" spans="1:10">
      <c r="A113" t="s">
        <v>120</v>
      </c>
      <c r="B113" s="27">
        <v>45338</v>
      </c>
      <c r="E113" t="s">
        <v>168</v>
      </c>
      <c r="F113" t="s">
        <v>187</v>
      </c>
      <c r="H113" t="s">
        <v>474</v>
      </c>
      <c r="I113" s="29"/>
      <c r="J113" s="29">
        <v>60</v>
      </c>
    </row>
    <row r="114" spans="1:10">
      <c r="A114" t="s">
        <v>120</v>
      </c>
      <c r="B114" s="27">
        <v>45366</v>
      </c>
      <c r="E114" t="s">
        <v>168</v>
      </c>
      <c r="F114" t="s">
        <v>187</v>
      </c>
      <c r="H114" t="s">
        <v>516</v>
      </c>
      <c r="I114" s="29"/>
      <c r="J114" s="29">
        <v>660</v>
      </c>
    </row>
    <row r="115" spans="1:10">
      <c r="A115" t="s">
        <v>120</v>
      </c>
      <c r="B115" s="27">
        <v>45366</v>
      </c>
      <c r="E115" t="s">
        <v>168</v>
      </c>
      <c r="F115" t="s">
        <v>187</v>
      </c>
      <c r="H115" t="s">
        <v>516</v>
      </c>
      <c r="I115" s="29"/>
      <c r="J115" s="29">
        <v>930</v>
      </c>
    </row>
    <row r="116" spans="1:10">
      <c r="A116" t="s">
        <v>121</v>
      </c>
      <c r="B116" s="27">
        <v>45019</v>
      </c>
      <c r="E116" t="s">
        <v>168</v>
      </c>
      <c r="F116" t="s">
        <v>169</v>
      </c>
      <c r="H116" t="s">
        <v>170</v>
      </c>
      <c r="I116" s="29"/>
      <c r="J116" s="29">
        <v>110</v>
      </c>
    </row>
    <row r="117" spans="1:10">
      <c r="A117" t="s">
        <v>121</v>
      </c>
      <c r="B117" s="27">
        <v>45019</v>
      </c>
      <c r="E117" t="s">
        <v>168</v>
      </c>
      <c r="F117" t="s">
        <v>169</v>
      </c>
      <c r="H117" t="s">
        <v>170</v>
      </c>
      <c r="I117" s="29"/>
      <c r="J117" s="29">
        <v>330</v>
      </c>
    </row>
    <row r="118" spans="1:10">
      <c r="A118" t="s">
        <v>121</v>
      </c>
      <c r="B118" s="27">
        <v>45020</v>
      </c>
      <c r="E118" t="s">
        <v>168</v>
      </c>
      <c r="F118" t="s">
        <v>169</v>
      </c>
      <c r="H118" t="s">
        <v>170</v>
      </c>
      <c r="I118" s="29"/>
      <c r="J118" s="29">
        <v>330</v>
      </c>
    </row>
    <row r="119" spans="1:10">
      <c r="A119" t="s">
        <v>121</v>
      </c>
      <c r="B119" s="27">
        <v>45036</v>
      </c>
      <c r="E119" t="s">
        <v>168</v>
      </c>
      <c r="F119" t="s">
        <v>169</v>
      </c>
      <c r="H119" t="s">
        <v>197</v>
      </c>
      <c r="I119" s="29"/>
      <c r="J119" s="29">
        <v>2200</v>
      </c>
    </row>
    <row r="120" spans="1:10">
      <c r="A120" t="s">
        <v>121</v>
      </c>
      <c r="B120" s="27">
        <v>45068</v>
      </c>
      <c r="E120" t="s">
        <v>168</v>
      </c>
      <c r="F120" t="s">
        <v>169</v>
      </c>
      <c r="H120" t="s">
        <v>197</v>
      </c>
      <c r="I120" s="29"/>
      <c r="J120" s="29">
        <v>2200</v>
      </c>
    </row>
    <row r="121" spans="1:10">
      <c r="A121" t="s">
        <v>121</v>
      </c>
      <c r="B121" s="27">
        <v>45085</v>
      </c>
      <c r="E121" t="s">
        <v>168</v>
      </c>
      <c r="F121" t="s">
        <v>169</v>
      </c>
      <c r="G121" t="s">
        <v>206</v>
      </c>
      <c r="I121" s="29"/>
      <c r="J121" s="29">
        <v>550</v>
      </c>
    </row>
    <row r="122" spans="1:10">
      <c r="A122" t="s">
        <v>121</v>
      </c>
      <c r="B122" s="27">
        <v>45097</v>
      </c>
      <c r="E122" t="s">
        <v>168</v>
      </c>
      <c r="F122" t="s">
        <v>169</v>
      </c>
      <c r="H122" t="s">
        <v>197</v>
      </c>
      <c r="I122" s="29"/>
      <c r="J122" s="29">
        <v>2200</v>
      </c>
    </row>
    <row r="123" spans="1:10">
      <c r="A123" t="s">
        <v>121</v>
      </c>
      <c r="B123" s="27">
        <v>45106</v>
      </c>
      <c r="E123" t="s">
        <v>168</v>
      </c>
      <c r="F123" t="s">
        <v>169</v>
      </c>
      <c r="G123" t="s">
        <v>213</v>
      </c>
      <c r="I123" s="29"/>
      <c r="J123" s="29">
        <v>770</v>
      </c>
    </row>
    <row r="124" spans="1:10">
      <c r="A124" t="s">
        <v>121</v>
      </c>
      <c r="B124" s="27">
        <v>45113</v>
      </c>
      <c r="E124" t="s">
        <v>168</v>
      </c>
      <c r="F124" t="s">
        <v>169</v>
      </c>
      <c r="I124" s="29"/>
      <c r="J124" s="29">
        <v>550</v>
      </c>
    </row>
    <row r="125" spans="1:10">
      <c r="A125" t="s">
        <v>121</v>
      </c>
      <c r="B125" s="27">
        <v>45120</v>
      </c>
      <c r="E125" t="s">
        <v>168</v>
      </c>
      <c r="F125" t="s">
        <v>169</v>
      </c>
      <c r="I125" s="29"/>
      <c r="J125" s="29">
        <v>550</v>
      </c>
    </row>
    <row r="126" spans="1:10">
      <c r="A126" t="s">
        <v>121</v>
      </c>
      <c r="B126" s="27">
        <v>45127</v>
      </c>
      <c r="E126" t="s">
        <v>168</v>
      </c>
      <c r="F126" t="s">
        <v>169</v>
      </c>
      <c r="H126" t="s">
        <v>197</v>
      </c>
      <c r="I126" s="29"/>
      <c r="J126" s="29">
        <v>2200</v>
      </c>
    </row>
    <row r="127" spans="1:10">
      <c r="A127" t="s">
        <v>121</v>
      </c>
      <c r="B127" s="27">
        <v>45141</v>
      </c>
      <c r="E127" t="s">
        <v>168</v>
      </c>
      <c r="F127" t="s">
        <v>169</v>
      </c>
      <c r="I127" s="29"/>
      <c r="J127" s="29">
        <v>330</v>
      </c>
    </row>
    <row r="128" spans="1:10">
      <c r="A128" t="s">
        <v>121</v>
      </c>
      <c r="B128" s="27">
        <v>45159</v>
      </c>
      <c r="E128" t="s">
        <v>168</v>
      </c>
      <c r="F128" t="s">
        <v>169</v>
      </c>
      <c r="H128" t="s">
        <v>197</v>
      </c>
      <c r="I128" s="29"/>
      <c r="J128" s="29">
        <v>2200</v>
      </c>
    </row>
    <row r="129" spans="1:10">
      <c r="A129" t="s">
        <v>121</v>
      </c>
      <c r="B129" s="27">
        <v>45160</v>
      </c>
      <c r="E129" t="s">
        <v>168</v>
      </c>
      <c r="F129" t="s">
        <v>169</v>
      </c>
      <c r="I129" s="29"/>
      <c r="J129" s="29">
        <v>770</v>
      </c>
    </row>
    <row r="130" spans="1:10">
      <c r="A130" t="s">
        <v>121</v>
      </c>
      <c r="B130" s="27">
        <v>45160</v>
      </c>
      <c r="E130" t="s">
        <v>168</v>
      </c>
      <c r="F130" t="s">
        <v>169</v>
      </c>
      <c r="I130" s="29"/>
      <c r="J130" s="29">
        <v>770</v>
      </c>
    </row>
    <row r="131" spans="1:10">
      <c r="A131" t="s">
        <v>121</v>
      </c>
      <c r="B131" s="27">
        <v>45169</v>
      </c>
      <c r="E131" t="s">
        <v>168</v>
      </c>
      <c r="F131" t="s">
        <v>169</v>
      </c>
      <c r="I131" s="29"/>
      <c r="J131" s="29">
        <v>330</v>
      </c>
    </row>
    <row r="132" spans="1:10">
      <c r="A132" t="s">
        <v>121</v>
      </c>
      <c r="B132" s="27">
        <v>45181</v>
      </c>
      <c r="E132" t="s">
        <v>168</v>
      </c>
      <c r="F132" t="s">
        <v>169</v>
      </c>
      <c r="G132" t="s">
        <v>200</v>
      </c>
      <c r="I132" s="29"/>
      <c r="J132" s="29">
        <v>550</v>
      </c>
    </row>
    <row r="133" spans="1:10">
      <c r="A133" t="s">
        <v>121</v>
      </c>
      <c r="B133" s="27">
        <v>45181</v>
      </c>
      <c r="E133" t="s">
        <v>168</v>
      </c>
      <c r="F133" t="s">
        <v>169</v>
      </c>
      <c r="I133" s="29"/>
      <c r="J133" s="29">
        <v>330</v>
      </c>
    </row>
    <row r="134" spans="1:10">
      <c r="A134" t="s">
        <v>121</v>
      </c>
      <c r="B134" s="27">
        <v>45182</v>
      </c>
      <c r="E134" t="s">
        <v>168</v>
      </c>
      <c r="F134" t="s">
        <v>169</v>
      </c>
      <c r="H134" t="s">
        <v>170</v>
      </c>
      <c r="I134" s="29"/>
      <c r="J134" s="29">
        <v>330</v>
      </c>
    </row>
    <row r="135" spans="1:10">
      <c r="A135" t="s">
        <v>121</v>
      </c>
      <c r="B135" s="27">
        <v>45182</v>
      </c>
      <c r="E135" t="s">
        <v>168</v>
      </c>
      <c r="F135" t="s">
        <v>169</v>
      </c>
      <c r="H135" t="s">
        <v>170</v>
      </c>
      <c r="I135" s="29"/>
      <c r="J135" s="29">
        <v>330</v>
      </c>
    </row>
    <row r="136" spans="1:10">
      <c r="A136" t="s">
        <v>121</v>
      </c>
      <c r="B136" s="27">
        <v>45184</v>
      </c>
      <c r="E136" t="s">
        <v>168</v>
      </c>
      <c r="F136" t="s">
        <v>169</v>
      </c>
      <c r="H136" t="s">
        <v>170</v>
      </c>
      <c r="I136" s="29"/>
      <c r="J136" s="29">
        <v>110</v>
      </c>
    </row>
    <row r="137" spans="1:10">
      <c r="A137" t="s">
        <v>121</v>
      </c>
      <c r="B137" s="27">
        <v>45189</v>
      </c>
      <c r="E137" t="s">
        <v>168</v>
      </c>
      <c r="F137" t="s">
        <v>169</v>
      </c>
      <c r="H137" t="s">
        <v>197</v>
      </c>
      <c r="I137" s="29"/>
      <c r="J137" s="29">
        <v>2200</v>
      </c>
    </row>
    <row r="138" spans="1:10">
      <c r="A138" t="s">
        <v>121</v>
      </c>
      <c r="B138" s="27">
        <v>45195</v>
      </c>
      <c r="E138" t="s">
        <v>168</v>
      </c>
      <c r="F138" t="s">
        <v>169</v>
      </c>
      <c r="H138" t="s">
        <v>170</v>
      </c>
      <c r="I138" s="29"/>
      <c r="J138" s="29">
        <v>110</v>
      </c>
    </row>
    <row r="139" spans="1:10">
      <c r="A139" t="s">
        <v>121</v>
      </c>
      <c r="B139" s="27">
        <v>45195</v>
      </c>
      <c r="E139" t="s">
        <v>168</v>
      </c>
      <c r="F139" t="s">
        <v>169</v>
      </c>
      <c r="H139" t="s">
        <v>170</v>
      </c>
      <c r="I139" s="29"/>
      <c r="J139" s="29">
        <v>330</v>
      </c>
    </row>
    <row r="140" spans="1:10">
      <c r="A140" t="s">
        <v>121</v>
      </c>
      <c r="B140" s="27">
        <v>45195</v>
      </c>
      <c r="E140" t="s">
        <v>168</v>
      </c>
      <c r="F140" t="s">
        <v>169</v>
      </c>
      <c r="H140" t="s">
        <v>170</v>
      </c>
      <c r="I140" s="29"/>
      <c r="J140" s="29">
        <v>110</v>
      </c>
    </row>
    <row r="141" spans="1:10">
      <c r="A141" t="s">
        <v>121</v>
      </c>
      <c r="B141" s="27">
        <v>45219</v>
      </c>
      <c r="E141" t="s">
        <v>168</v>
      </c>
      <c r="F141" t="s">
        <v>169</v>
      </c>
      <c r="H141" t="s">
        <v>197</v>
      </c>
      <c r="I141" s="29"/>
      <c r="J141" s="29">
        <v>2200</v>
      </c>
    </row>
    <row r="142" spans="1:10">
      <c r="A142" t="s">
        <v>121</v>
      </c>
      <c r="B142" s="27">
        <v>45258</v>
      </c>
      <c r="E142" t="s">
        <v>168</v>
      </c>
      <c r="F142" t="s">
        <v>169</v>
      </c>
      <c r="I142" s="29"/>
      <c r="J142" s="29">
        <v>330</v>
      </c>
    </row>
    <row r="143" spans="1:10">
      <c r="A143" t="s">
        <v>121</v>
      </c>
      <c r="B143" s="27">
        <v>45258</v>
      </c>
      <c r="E143" t="s">
        <v>168</v>
      </c>
      <c r="F143" t="s">
        <v>169</v>
      </c>
      <c r="I143" s="29"/>
      <c r="J143" s="29">
        <v>330</v>
      </c>
    </row>
    <row r="144" spans="1:10">
      <c r="A144" t="s">
        <v>121</v>
      </c>
      <c r="B144" s="27">
        <v>45258</v>
      </c>
      <c r="E144" t="s">
        <v>168</v>
      </c>
      <c r="F144" t="s">
        <v>169</v>
      </c>
      <c r="I144" s="29"/>
      <c r="J144" s="29">
        <v>330</v>
      </c>
    </row>
    <row r="145" spans="1:10">
      <c r="A145" t="s">
        <v>121</v>
      </c>
      <c r="B145" s="27">
        <v>45267</v>
      </c>
      <c r="E145" t="s">
        <v>168</v>
      </c>
      <c r="F145" t="s">
        <v>169</v>
      </c>
      <c r="I145" s="29"/>
      <c r="J145" s="29">
        <v>330</v>
      </c>
    </row>
    <row r="146" spans="1:10">
      <c r="A146" t="s">
        <v>121</v>
      </c>
      <c r="B146" s="27">
        <v>45275</v>
      </c>
      <c r="E146" t="s">
        <v>168</v>
      </c>
      <c r="F146" t="s">
        <v>169</v>
      </c>
      <c r="I146" s="29"/>
      <c r="J146" s="29">
        <v>110</v>
      </c>
    </row>
    <row r="147" spans="1:10">
      <c r="A147" t="s">
        <v>121</v>
      </c>
      <c r="B147" s="27">
        <v>45280</v>
      </c>
      <c r="E147" t="s">
        <v>168</v>
      </c>
      <c r="F147" t="s">
        <v>169</v>
      </c>
      <c r="H147" t="s">
        <v>197</v>
      </c>
      <c r="I147" s="29"/>
      <c r="J147" s="29">
        <v>2200</v>
      </c>
    </row>
    <row r="148" spans="1:10">
      <c r="A148" t="s">
        <v>121</v>
      </c>
      <c r="B148" s="27">
        <v>45285</v>
      </c>
      <c r="E148" t="s">
        <v>168</v>
      </c>
      <c r="F148" t="s">
        <v>169</v>
      </c>
      <c r="I148" s="29"/>
      <c r="J148" s="29">
        <v>550</v>
      </c>
    </row>
    <row r="149" spans="1:10">
      <c r="A149" t="s">
        <v>121</v>
      </c>
      <c r="B149" s="27">
        <v>45313</v>
      </c>
      <c r="E149" t="s">
        <v>168</v>
      </c>
      <c r="F149" t="s">
        <v>169</v>
      </c>
      <c r="H149" t="s">
        <v>389</v>
      </c>
      <c r="I149" s="29"/>
      <c r="J149" s="29">
        <v>2200</v>
      </c>
    </row>
    <row r="150" spans="1:10">
      <c r="A150" t="s">
        <v>121</v>
      </c>
      <c r="B150" s="27">
        <v>45323</v>
      </c>
      <c r="E150" t="s">
        <v>168</v>
      </c>
      <c r="F150" t="s">
        <v>169</v>
      </c>
      <c r="I150" s="29"/>
      <c r="J150" s="29">
        <v>110</v>
      </c>
    </row>
    <row r="151" spans="1:10">
      <c r="A151" t="s">
        <v>121</v>
      </c>
      <c r="B151" s="27">
        <v>45342</v>
      </c>
      <c r="E151" t="s">
        <v>168</v>
      </c>
      <c r="F151" t="s">
        <v>169</v>
      </c>
      <c r="H151" t="s">
        <v>389</v>
      </c>
      <c r="I151" s="29"/>
      <c r="J151" s="29">
        <v>2200</v>
      </c>
    </row>
    <row r="152" spans="1:10">
      <c r="A152" t="s">
        <v>121</v>
      </c>
      <c r="B152" s="27">
        <v>45342</v>
      </c>
      <c r="E152" t="s">
        <v>168</v>
      </c>
      <c r="F152" t="s">
        <v>169</v>
      </c>
      <c r="I152" s="29"/>
      <c r="J152" s="29">
        <v>330</v>
      </c>
    </row>
    <row r="153" spans="1:10">
      <c r="A153" t="s">
        <v>121</v>
      </c>
      <c r="B153" s="27">
        <v>45342</v>
      </c>
      <c r="E153" t="s">
        <v>168</v>
      </c>
      <c r="F153" t="s">
        <v>169</v>
      </c>
      <c r="I153" s="29"/>
      <c r="J153" s="29">
        <v>110</v>
      </c>
    </row>
    <row r="154" spans="1:10">
      <c r="A154" t="s">
        <v>121</v>
      </c>
      <c r="B154" s="27">
        <v>45343</v>
      </c>
      <c r="E154" t="s">
        <v>168</v>
      </c>
      <c r="F154" t="s">
        <v>169</v>
      </c>
      <c r="I154" s="29"/>
      <c r="J154" s="29">
        <v>550</v>
      </c>
    </row>
    <row r="155" spans="1:10">
      <c r="A155" t="s">
        <v>121</v>
      </c>
      <c r="B155" s="27">
        <v>45343</v>
      </c>
      <c r="E155" t="s">
        <v>168</v>
      </c>
      <c r="F155" t="s">
        <v>169</v>
      </c>
      <c r="I155" s="29"/>
      <c r="J155" s="29">
        <v>110</v>
      </c>
    </row>
    <row r="156" spans="1:10">
      <c r="A156" t="s">
        <v>121</v>
      </c>
      <c r="B156" s="27">
        <v>45357</v>
      </c>
      <c r="E156" t="s">
        <v>168</v>
      </c>
      <c r="F156" t="s">
        <v>169</v>
      </c>
      <c r="H156" t="s">
        <v>170</v>
      </c>
      <c r="I156" s="29"/>
      <c r="J156" s="29">
        <v>330</v>
      </c>
    </row>
    <row r="157" spans="1:10">
      <c r="A157" t="s">
        <v>121</v>
      </c>
      <c r="B157" s="27">
        <v>45372</v>
      </c>
      <c r="E157" t="s">
        <v>168</v>
      </c>
      <c r="F157" t="s">
        <v>169</v>
      </c>
      <c r="H157" t="s">
        <v>389</v>
      </c>
      <c r="I157" s="29"/>
      <c r="J157" s="29">
        <v>2200</v>
      </c>
    </row>
    <row r="158" spans="1:10">
      <c r="A158" t="s">
        <v>121</v>
      </c>
      <c r="B158" s="27">
        <v>45376</v>
      </c>
      <c r="E158" t="s">
        <v>168</v>
      </c>
      <c r="F158" t="s">
        <v>169</v>
      </c>
      <c r="I158" s="29"/>
      <c r="J158" s="29">
        <v>110</v>
      </c>
    </row>
    <row r="159" spans="1:10">
      <c r="A159" t="s">
        <v>126</v>
      </c>
      <c r="B159" s="27">
        <v>45020</v>
      </c>
      <c r="E159" t="s">
        <v>168</v>
      </c>
      <c r="F159" t="s">
        <v>183</v>
      </c>
      <c r="H159" t="s">
        <v>184</v>
      </c>
      <c r="I159" s="29"/>
      <c r="J159" s="29">
        <v>260</v>
      </c>
    </row>
    <row r="160" spans="1:10">
      <c r="A160" t="s">
        <v>126</v>
      </c>
      <c r="B160" s="27">
        <v>45020</v>
      </c>
      <c r="E160" t="s">
        <v>168</v>
      </c>
      <c r="F160" t="s">
        <v>183</v>
      </c>
      <c r="H160" t="s">
        <v>185</v>
      </c>
      <c r="I160" s="29"/>
      <c r="J160" s="29">
        <v>8400</v>
      </c>
    </row>
    <row r="161" spans="1:10">
      <c r="A161" t="s">
        <v>126</v>
      </c>
      <c r="B161" s="27">
        <v>45020</v>
      </c>
      <c r="E161" t="s">
        <v>168</v>
      </c>
      <c r="F161" t="s">
        <v>183</v>
      </c>
      <c r="H161" t="s">
        <v>186</v>
      </c>
      <c r="I161" s="29"/>
      <c r="J161" s="29">
        <v>9400</v>
      </c>
    </row>
    <row r="162" spans="1:10">
      <c r="A162" t="s">
        <v>126</v>
      </c>
      <c r="B162" s="27">
        <v>45020</v>
      </c>
      <c r="E162" t="s">
        <v>168</v>
      </c>
      <c r="F162" t="s">
        <v>183</v>
      </c>
      <c r="H162" t="s">
        <v>189</v>
      </c>
      <c r="I162" s="29"/>
      <c r="J162" s="29">
        <v>750</v>
      </c>
    </row>
    <row r="163" spans="1:10">
      <c r="A163" t="s">
        <v>126</v>
      </c>
      <c r="B163" s="27">
        <v>45020</v>
      </c>
      <c r="E163" t="s">
        <v>168</v>
      </c>
      <c r="F163" t="s">
        <v>183</v>
      </c>
      <c r="H163" t="s">
        <v>190</v>
      </c>
      <c r="I163" s="29"/>
      <c r="J163" s="29">
        <v>300</v>
      </c>
    </row>
    <row r="164" spans="1:10">
      <c r="A164" t="s">
        <v>126</v>
      </c>
      <c r="B164" s="27">
        <v>45020</v>
      </c>
      <c r="E164" t="s">
        <v>168</v>
      </c>
      <c r="F164" t="s">
        <v>183</v>
      </c>
      <c r="H164" t="s">
        <v>191</v>
      </c>
      <c r="I164" s="29"/>
      <c r="J164" s="29">
        <v>940</v>
      </c>
    </row>
    <row r="165" spans="1:10">
      <c r="A165" t="s">
        <v>126</v>
      </c>
      <c r="B165" s="27">
        <v>45020</v>
      </c>
      <c r="E165" t="s">
        <v>168</v>
      </c>
      <c r="F165" t="s">
        <v>183</v>
      </c>
      <c r="H165" t="s">
        <v>196</v>
      </c>
      <c r="I165" s="29"/>
      <c r="J165" s="29">
        <v>30</v>
      </c>
    </row>
    <row r="166" spans="1:10">
      <c r="A166" t="s">
        <v>126</v>
      </c>
      <c r="B166" s="27">
        <v>45034</v>
      </c>
      <c r="E166" t="s">
        <v>168</v>
      </c>
      <c r="F166" t="s">
        <v>183</v>
      </c>
      <c r="H166" t="s">
        <v>321</v>
      </c>
      <c r="I166" s="29"/>
      <c r="J166" s="29">
        <v>140</v>
      </c>
    </row>
    <row r="167" spans="1:10">
      <c r="A167" t="s">
        <v>126</v>
      </c>
      <c r="B167" s="27">
        <v>45034</v>
      </c>
      <c r="E167" t="s">
        <v>168</v>
      </c>
      <c r="F167" t="s">
        <v>183</v>
      </c>
      <c r="H167" t="s">
        <v>322</v>
      </c>
      <c r="I167" s="29"/>
      <c r="J167" s="29">
        <v>300</v>
      </c>
    </row>
    <row r="168" spans="1:10">
      <c r="A168" t="s">
        <v>126</v>
      </c>
      <c r="B168" s="27">
        <v>45035</v>
      </c>
      <c r="E168" t="s">
        <v>168</v>
      </c>
      <c r="F168" t="s">
        <v>183</v>
      </c>
      <c r="H168" t="s">
        <v>324</v>
      </c>
      <c r="I168" s="29"/>
      <c r="J168" s="29">
        <v>420</v>
      </c>
    </row>
    <row r="169" spans="1:10">
      <c r="A169" t="s">
        <v>126</v>
      </c>
      <c r="B169" s="27">
        <v>45048</v>
      </c>
      <c r="E169" t="s">
        <v>168</v>
      </c>
      <c r="F169" t="s">
        <v>183</v>
      </c>
      <c r="H169" t="s">
        <v>326</v>
      </c>
      <c r="I169" s="29"/>
      <c r="J169" s="29">
        <v>250</v>
      </c>
    </row>
    <row r="170" spans="1:10">
      <c r="A170" t="s">
        <v>126</v>
      </c>
      <c r="B170" s="27">
        <v>45072</v>
      </c>
      <c r="E170" t="s">
        <v>168</v>
      </c>
      <c r="F170" t="s">
        <v>183</v>
      </c>
      <c r="G170" t="s">
        <v>206</v>
      </c>
      <c r="H170" t="s">
        <v>327</v>
      </c>
      <c r="I170" s="29"/>
      <c r="J170" s="29">
        <v>1260</v>
      </c>
    </row>
    <row r="171" spans="1:10">
      <c r="A171" t="s">
        <v>126</v>
      </c>
      <c r="B171" s="27">
        <v>45093</v>
      </c>
      <c r="E171" t="s">
        <v>168</v>
      </c>
      <c r="F171" t="s">
        <v>183</v>
      </c>
      <c r="G171" t="s">
        <v>206</v>
      </c>
      <c r="H171" t="s">
        <v>328</v>
      </c>
      <c r="I171" s="29"/>
      <c r="J171" s="29">
        <v>36250</v>
      </c>
    </row>
    <row r="172" spans="1:10">
      <c r="A172" t="s">
        <v>126</v>
      </c>
      <c r="B172" s="27">
        <v>45096</v>
      </c>
      <c r="E172" t="s">
        <v>168</v>
      </c>
      <c r="F172" t="s">
        <v>183</v>
      </c>
      <c r="H172" t="s">
        <v>325</v>
      </c>
      <c r="I172" s="29"/>
      <c r="J172" s="29">
        <v>6562</v>
      </c>
    </row>
    <row r="173" spans="1:10">
      <c r="A173" t="s">
        <v>126</v>
      </c>
      <c r="B173" s="27">
        <v>45182</v>
      </c>
      <c r="E173" t="s">
        <v>168</v>
      </c>
      <c r="F173" t="s">
        <v>183</v>
      </c>
      <c r="H173" t="s">
        <v>363</v>
      </c>
      <c r="I173" s="29"/>
      <c r="J173" s="29">
        <v>336</v>
      </c>
    </row>
    <row r="174" spans="1:10">
      <c r="A174" t="s">
        <v>126</v>
      </c>
      <c r="B174" s="27">
        <v>45222</v>
      </c>
      <c r="E174" t="s">
        <v>168</v>
      </c>
      <c r="F174" t="s">
        <v>183</v>
      </c>
      <c r="H174" t="s">
        <v>364</v>
      </c>
      <c r="I174" s="29"/>
      <c r="J174" s="29">
        <v>140</v>
      </c>
    </row>
    <row r="175" spans="1:10">
      <c r="A175" t="s">
        <v>126</v>
      </c>
      <c r="B175" s="27">
        <v>45267</v>
      </c>
      <c r="E175" t="s">
        <v>168</v>
      </c>
      <c r="F175" t="s">
        <v>183</v>
      </c>
      <c r="G175" t="s">
        <v>210</v>
      </c>
      <c r="H175" t="s">
        <v>367</v>
      </c>
      <c r="I175" s="29"/>
      <c r="J175" s="29">
        <v>51730</v>
      </c>
    </row>
    <row r="176" spans="1:10">
      <c r="A176" t="s">
        <v>126</v>
      </c>
      <c r="B176" s="27">
        <v>45273</v>
      </c>
      <c r="E176" t="s">
        <v>168</v>
      </c>
      <c r="F176" t="s">
        <v>183</v>
      </c>
      <c r="H176" t="s">
        <v>368</v>
      </c>
      <c r="I176" s="29"/>
      <c r="J176" s="29">
        <v>8820</v>
      </c>
    </row>
    <row r="177" spans="1:10">
      <c r="A177" t="s">
        <v>126</v>
      </c>
      <c r="B177" s="27">
        <v>45275</v>
      </c>
      <c r="E177" t="s">
        <v>168</v>
      </c>
      <c r="F177" t="s">
        <v>183</v>
      </c>
      <c r="H177" t="s">
        <v>370</v>
      </c>
      <c r="I177" s="29"/>
      <c r="J177" s="29">
        <v>12480</v>
      </c>
    </row>
    <row r="178" spans="1:10">
      <c r="A178" t="s">
        <v>126</v>
      </c>
      <c r="B178" s="27">
        <v>45278</v>
      </c>
      <c r="E178" t="s">
        <v>168</v>
      </c>
      <c r="F178" t="s">
        <v>183</v>
      </c>
      <c r="H178" t="s">
        <v>478</v>
      </c>
      <c r="I178" s="29"/>
      <c r="J178" s="29">
        <v>4800</v>
      </c>
    </row>
    <row r="179" spans="1:10">
      <c r="A179" t="s">
        <v>126</v>
      </c>
      <c r="B179" s="27">
        <v>45290</v>
      </c>
      <c r="E179" t="s">
        <v>168</v>
      </c>
      <c r="F179" t="s">
        <v>183</v>
      </c>
      <c r="H179" t="s">
        <v>477</v>
      </c>
      <c r="I179" s="29"/>
      <c r="J179" s="29">
        <v>210</v>
      </c>
    </row>
    <row r="180" spans="1:10">
      <c r="A180" t="s">
        <v>126</v>
      </c>
      <c r="B180" s="27">
        <v>45301</v>
      </c>
      <c r="E180" t="s">
        <v>168</v>
      </c>
      <c r="F180" t="s">
        <v>183</v>
      </c>
      <c r="H180" t="s">
        <v>471</v>
      </c>
      <c r="I180" s="29"/>
      <c r="J180" s="29">
        <v>1498</v>
      </c>
    </row>
    <row r="181" spans="1:10">
      <c r="A181" t="s">
        <v>126</v>
      </c>
      <c r="B181" s="27">
        <v>45327</v>
      </c>
      <c r="E181" t="s">
        <v>168</v>
      </c>
      <c r="F181" t="s">
        <v>183</v>
      </c>
      <c r="H181" t="s">
        <v>471</v>
      </c>
      <c r="I181" s="29"/>
      <c r="J181" s="29">
        <v>210</v>
      </c>
    </row>
    <row r="182" spans="1:10">
      <c r="A182" t="s">
        <v>135</v>
      </c>
      <c r="B182" s="27">
        <v>45019</v>
      </c>
      <c r="E182" t="s">
        <v>179</v>
      </c>
      <c r="F182" t="s">
        <v>180</v>
      </c>
      <c r="H182" t="s">
        <v>181</v>
      </c>
      <c r="I182" s="29"/>
      <c r="J182" s="29">
        <v>10000</v>
      </c>
    </row>
    <row r="183" spans="1:10">
      <c r="A183" t="s">
        <v>135</v>
      </c>
      <c r="B183" s="27">
        <v>45019</v>
      </c>
      <c r="E183" t="s">
        <v>179</v>
      </c>
      <c r="F183" t="s">
        <v>180</v>
      </c>
      <c r="H183" t="s">
        <v>483</v>
      </c>
      <c r="I183" s="29"/>
      <c r="J183" s="29">
        <v>10000</v>
      </c>
    </row>
    <row r="184" spans="1:10">
      <c r="A184" t="s">
        <v>135</v>
      </c>
      <c r="B184" s="27">
        <v>45019</v>
      </c>
      <c r="E184" t="s">
        <v>179</v>
      </c>
      <c r="F184" t="s">
        <v>180</v>
      </c>
      <c r="H184" t="s">
        <v>484</v>
      </c>
      <c r="I184" s="29"/>
      <c r="J184" s="29">
        <v>4000</v>
      </c>
    </row>
    <row r="185" spans="1:10">
      <c r="A185" t="s">
        <v>135</v>
      </c>
      <c r="B185" s="27">
        <v>45019</v>
      </c>
      <c r="E185" t="s">
        <v>179</v>
      </c>
      <c r="F185" t="s">
        <v>180</v>
      </c>
      <c r="H185" t="s">
        <v>485</v>
      </c>
      <c r="I185" s="29"/>
      <c r="J185" s="29">
        <v>4000</v>
      </c>
    </row>
    <row r="186" spans="1:10">
      <c r="A186" t="s">
        <v>135</v>
      </c>
      <c r="B186" s="27">
        <v>45019</v>
      </c>
      <c r="E186" t="s">
        <v>179</v>
      </c>
      <c r="F186" t="s">
        <v>180</v>
      </c>
      <c r="H186" t="s">
        <v>486</v>
      </c>
      <c r="I186" s="29"/>
      <c r="J186" s="29">
        <v>4000</v>
      </c>
    </row>
    <row r="187" spans="1:10">
      <c r="A187" t="s">
        <v>135</v>
      </c>
      <c r="B187" s="27">
        <v>45019</v>
      </c>
      <c r="E187" t="s">
        <v>179</v>
      </c>
      <c r="F187" t="s">
        <v>180</v>
      </c>
      <c r="H187" t="s">
        <v>487</v>
      </c>
      <c r="I187" s="29"/>
      <c r="J187" s="29">
        <v>6000</v>
      </c>
    </row>
    <row r="188" spans="1:10">
      <c r="A188" t="s">
        <v>135</v>
      </c>
      <c r="B188" s="27">
        <v>45060</v>
      </c>
      <c r="E188" t="s">
        <v>179</v>
      </c>
      <c r="F188" t="s">
        <v>180</v>
      </c>
      <c r="H188" t="s">
        <v>400</v>
      </c>
      <c r="I188" s="29"/>
      <c r="J188" s="29">
        <v>10000</v>
      </c>
    </row>
    <row r="189" spans="1:10">
      <c r="A189" t="s">
        <v>135</v>
      </c>
      <c r="B189" s="27">
        <v>45081</v>
      </c>
      <c r="E189" t="s">
        <v>179</v>
      </c>
      <c r="F189" t="s">
        <v>180</v>
      </c>
      <c r="H189" t="s">
        <v>401</v>
      </c>
      <c r="I189" s="29"/>
      <c r="J189" s="29">
        <v>5000</v>
      </c>
    </row>
    <row r="190" spans="1:10">
      <c r="A190" t="s">
        <v>135</v>
      </c>
      <c r="B190" s="27">
        <v>45102</v>
      </c>
      <c r="E190" t="s">
        <v>179</v>
      </c>
      <c r="F190" t="s">
        <v>180</v>
      </c>
      <c r="H190" t="s">
        <v>403</v>
      </c>
      <c r="I190" s="29"/>
      <c r="J190" s="29">
        <v>10000</v>
      </c>
    </row>
    <row r="191" spans="1:10">
      <c r="A191" t="s">
        <v>135</v>
      </c>
      <c r="B191" s="27">
        <v>45102</v>
      </c>
      <c r="E191" t="s">
        <v>179</v>
      </c>
      <c r="F191" t="s">
        <v>180</v>
      </c>
      <c r="H191" t="s">
        <v>402</v>
      </c>
      <c r="I191" s="29"/>
      <c r="J191" s="29">
        <v>10000</v>
      </c>
    </row>
    <row r="192" spans="1:10">
      <c r="A192" t="s">
        <v>135</v>
      </c>
      <c r="B192" s="27">
        <v>45221</v>
      </c>
      <c r="E192" t="s">
        <v>179</v>
      </c>
      <c r="F192" t="s">
        <v>180</v>
      </c>
      <c r="H192" t="s">
        <v>404</v>
      </c>
      <c r="I192" s="29"/>
      <c r="J192" s="29">
        <v>5000</v>
      </c>
    </row>
    <row r="193" spans="1:10">
      <c r="A193" t="s">
        <v>135</v>
      </c>
      <c r="B193" s="27">
        <v>45228</v>
      </c>
      <c r="E193" t="s">
        <v>179</v>
      </c>
      <c r="F193" t="s">
        <v>180</v>
      </c>
      <c r="H193" t="s">
        <v>405</v>
      </c>
      <c r="I193" s="29"/>
      <c r="J193" s="29">
        <v>5000</v>
      </c>
    </row>
    <row r="194" spans="1:10">
      <c r="A194" t="s">
        <v>135</v>
      </c>
      <c r="B194" s="27">
        <v>45241</v>
      </c>
      <c r="E194" t="s">
        <v>179</v>
      </c>
      <c r="F194" t="s">
        <v>180</v>
      </c>
      <c r="H194" t="s">
        <v>406</v>
      </c>
      <c r="I194" s="29"/>
      <c r="J194" s="29">
        <v>5000</v>
      </c>
    </row>
    <row r="195" spans="1:10">
      <c r="A195" t="s">
        <v>135</v>
      </c>
      <c r="B195" s="27">
        <v>45249</v>
      </c>
      <c r="E195" t="s">
        <v>179</v>
      </c>
      <c r="F195" t="s">
        <v>180</v>
      </c>
      <c r="H195" t="s">
        <v>407</v>
      </c>
      <c r="I195" s="29"/>
      <c r="J195" s="29">
        <v>5000</v>
      </c>
    </row>
    <row r="196" spans="1:10">
      <c r="A196" t="s">
        <v>135</v>
      </c>
      <c r="B196" s="27">
        <v>45249</v>
      </c>
      <c r="E196" t="s">
        <v>179</v>
      </c>
      <c r="F196" t="s">
        <v>180</v>
      </c>
      <c r="H196" t="s">
        <v>408</v>
      </c>
      <c r="I196" s="29"/>
      <c r="J196" s="29">
        <v>5000</v>
      </c>
    </row>
    <row r="197" spans="1:10">
      <c r="A197" t="s">
        <v>135</v>
      </c>
      <c r="B197" s="27">
        <v>45347</v>
      </c>
      <c r="E197" t="s">
        <v>179</v>
      </c>
      <c r="F197" t="s">
        <v>180</v>
      </c>
      <c r="H197" t="s">
        <v>409</v>
      </c>
      <c r="I197" s="29"/>
      <c r="J197" s="29">
        <v>5000</v>
      </c>
    </row>
    <row r="198" spans="1:10">
      <c r="A198" t="s">
        <v>135</v>
      </c>
      <c r="B198" s="27">
        <v>45347</v>
      </c>
      <c r="E198" t="s">
        <v>179</v>
      </c>
      <c r="F198" t="s">
        <v>180</v>
      </c>
      <c r="H198" t="s">
        <v>410</v>
      </c>
      <c r="I198" s="29"/>
      <c r="J198" s="29">
        <v>5000</v>
      </c>
    </row>
    <row r="199" spans="1:10">
      <c r="A199" t="s">
        <v>135</v>
      </c>
      <c r="B199" s="27">
        <v>45374</v>
      </c>
      <c r="E199" t="s">
        <v>179</v>
      </c>
      <c r="F199" t="s">
        <v>180</v>
      </c>
      <c r="H199" t="s">
        <v>492</v>
      </c>
      <c r="I199" s="29"/>
      <c r="J199" s="29">
        <v>10000</v>
      </c>
    </row>
    <row r="200" spans="1:10">
      <c r="A200" t="s">
        <v>135</v>
      </c>
      <c r="B200" s="27">
        <v>45374</v>
      </c>
      <c r="E200" t="s">
        <v>179</v>
      </c>
      <c r="F200" t="s">
        <v>180</v>
      </c>
      <c r="H200" t="s">
        <v>182</v>
      </c>
      <c r="I200" s="29"/>
      <c r="J200" s="29">
        <v>10000</v>
      </c>
    </row>
    <row r="201" spans="1:10">
      <c r="A201" t="s">
        <v>135</v>
      </c>
      <c r="B201" s="27">
        <v>45374</v>
      </c>
      <c r="E201" t="s">
        <v>179</v>
      </c>
      <c r="F201" t="s">
        <v>180</v>
      </c>
      <c r="H201" t="s">
        <v>493</v>
      </c>
      <c r="I201" s="29"/>
      <c r="J201" s="29">
        <v>4000</v>
      </c>
    </row>
    <row r="202" spans="1:10">
      <c r="A202" t="s">
        <v>135</v>
      </c>
      <c r="B202" s="27">
        <v>45374</v>
      </c>
      <c r="E202" t="s">
        <v>179</v>
      </c>
      <c r="F202" t="s">
        <v>180</v>
      </c>
      <c r="H202" t="s">
        <v>494</v>
      </c>
      <c r="I202" s="29"/>
      <c r="J202" s="29">
        <v>6000</v>
      </c>
    </row>
    <row r="203" spans="1:10">
      <c r="A203" t="s">
        <v>131</v>
      </c>
      <c r="B203" s="27">
        <v>45084</v>
      </c>
      <c r="C203" t="s">
        <v>203</v>
      </c>
      <c r="D203" t="s">
        <v>204</v>
      </c>
      <c r="H203" t="s">
        <v>205</v>
      </c>
      <c r="I203" s="29">
        <v>43000</v>
      </c>
      <c r="J203" s="29"/>
    </row>
    <row r="204" spans="1:10">
      <c r="A204" t="s">
        <v>131</v>
      </c>
      <c r="B204" s="27">
        <v>45098</v>
      </c>
      <c r="C204" t="s">
        <v>203</v>
      </c>
      <c r="D204" t="s">
        <v>204</v>
      </c>
      <c r="H204" t="s">
        <v>215</v>
      </c>
      <c r="I204" s="29">
        <v>43000</v>
      </c>
      <c r="J204" s="29"/>
    </row>
    <row r="205" spans="1:10">
      <c r="A205" t="s">
        <v>131</v>
      </c>
      <c r="B205" s="27">
        <v>45099</v>
      </c>
      <c r="C205" t="s">
        <v>203</v>
      </c>
      <c r="D205" t="s">
        <v>204</v>
      </c>
      <c r="H205" t="s">
        <v>216</v>
      </c>
      <c r="I205" s="29">
        <v>43000</v>
      </c>
      <c r="J205" s="29"/>
    </row>
    <row r="206" spans="1:10">
      <c r="A206" t="s">
        <v>131</v>
      </c>
      <c r="B206" s="27">
        <v>45099</v>
      </c>
      <c r="C206" t="s">
        <v>203</v>
      </c>
      <c r="D206" t="s">
        <v>204</v>
      </c>
      <c r="H206" t="s">
        <v>217</v>
      </c>
      <c r="I206" s="29">
        <v>43000</v>
      </c>
      <c r="J206" s="29"/>
    </row>
    <row r="207" spans="1:10">
      <c r="A207" t="s">
        <v>131</v>
      </c>
      <c r="B207" s="27">
        <v>45099</v>
      </c>
      <c r="C207" t="s">
        <v>203</v>
      </c>
      <c r="D207" t="s">
        <v>204</v>
      </c>
      <c r="H207" t="s">
        <v>218</v>
      </c>
      <c r="I207" s="29">
        <v>43000</v>
      </c>
      <c r="J207" s="29"/>
    </row>
    <row r="208" spans="1:10">
      <c r="A208" t="s">
        <v>131</v>
      </c>
      <c r="B208" s="27">
        <v>45099</v>
      </c>
      <c r="C208" t="s">
        <v>203</v>
      </c>
      <c r="D208" t="s">
        <v>204</v>
      </c>
      <c r="H208" t="s">
        <v>219</v>
      </c>
      <c r="I208" s="29">
        <v>43000</v>
      </c>
      <c r="J208" s="29"/>
    </row>
    <row r="209" spans="1:10">
      <c r="A209" t="s">
        <v>131</v>
      </c>
      <c r="B209" s="27">
        <v>45100</v>
      </c>
      <c r="C209" t="s">
        <v>203</v>
      </c>
      <c r="D209" t="s">
        <v>204</v>
      </c>
      <c r="H209" t="s">
        <v>220</v>
      </c>
      <c r="I209" s="29">
        <v>43000</v>
      </c>
      <c r="J209" s="29"/>
    </row>
    <row r="210" spans="1:10">
      <c r="A210" t="s">
        <v>131</v>
      </c>
      <c r="B210" s="27">
        <v>45100</v>
      </c>
      <c r="C210" t="s">
        <v>203</v>
      </c>
      <c r="D210" t="s">
        <v>204</v>
      </c>
      <c r="H210" t="s">
        <v>221</v>
      </c>
      <c r="I210" s="29">
        <v>43000</v>
      </c>
      <c r="J210" s="29"/>
    </row>
    <row r="211" spans="1:10">
      <c r="A211" t="s">
        <v>131</v>
      </c>
      <c r="B211" s="27">
        <v>45100</v>
      </c>
      <c r="C211" t="s">
        <v>203</v>
      </c>
      <c r="D211" t="s">
        <v>204</v>
      </c>
      <c r="H211" t="s">
        <v>222</v>
      </c>
      <c r="I211" s="29">
        <v>43000</v>
      </c>
      <c r="J211" s="29"/>
    </row>
    <row r="212" spans="1:10">
      <c r="A212" t="s">
        <v>131</v>
      </c>
      <c r="B212" s="27">
        <v>45100</v>
      </c>
      <c r="C212" t="s">
        <v>203</v>
      </c>
      <c r="D212" t="s">
        <v>204</v>
      </c>
      <c r="H212" t="s">
        <v>223</v>
      </c>
      <c r="I212" s="29">
        <v>43000</v>
      </c>
      <c r="J212" s="29"/>
    </row>
    <row r="213" spans="1:10">
      <c r="A213" t="s">
        <v>131</v>
      </c>
      <c r="B213" s="27">
        <v>45100</v>
      </c>
      <c r="C213" t="s">
        <v>203</v>
      </c>
      <c r="D213" t="s">
        <v>204</v>
      </c>
      <c r="H213" t="s">
        <v>227</v>
      </c>
      <c r="I213" s="29">
        <v>43000</v>
      </c>
      <c r="J213" s="29"/>
    </row>
    <row r="214" spans="1:10">
      <c r="A214" t="s">
        <v>131</v>
      </c>
      <c r="B214" s="27">
        <v>45100</v>
      </c>
      <c r="C214" t="s">
        <v>203</v>
      </c>
      <c r="D214" t="s">
        <v>204</v>
      </c>
      <c r="H214" t="s">
        <v>228</v>
      </c>
      <c r="I214" s="29">
        <v>43000</v>
      </c>
      <c r="J214" s="29"/>
    </row>
    <row r="215" spans="1:10">
      <c r="A215" t="s">
        <v>131</v>
      </c>
      <c r="B215" s="27">
        <v>45100</v>
      </c>
      <c r="C215" t="s">
        <v>203</v>
      </c>
      <c r="D215" t="s">
        <v>204</v>
      </c>
      <c r="H215" t="s">
        <v>231</v>
      </c>
      <c r="I215" s="29">
        <v>43000</v>
      </c>
      <c r="J215" s="29"/>
    </row>
    <row r="216" spans="1:10">
      <c r="A216" t="s">
        <v>131</v>
      </c>
      <c r="B216" s="27">
        <v>45100</v>
      </c>
      <c r="C216" t="s">
        <v>203</v>
      </c>
      <c r="D216" t="s">
        <v>204</v>
      </c>
      <c r="H216" t="s">
        <v>232</v>
      </c>
      <c r="I216" s="29">
        <v>43000</v>
      </c>
      <c r="J216" s="29"/>
    </row>
    <row r="217" spans="1:10">
      <c r="A217" t="s">
        <v>131</v>
      </c>
      <c r="B217" s="27">
        <v>45100</v>
      </c>
      <c r="C217" t="s">
        <v>203</v>
      </c>
      <c r="D217" t="s">
        <v>204</v>
      </c>
      <c r="H217" t="s">
        <v>201</v>
      </c>
      <c r="I217" s="29">
        <v>23000</v>
      </c>
      <c r="J217" s="29"/>
    </row>
    <row r="218" spans="1:10">
      <c r="A218" t="s">
        <v>131</v>
      </c>
      <c r="B218" s="27">
        <v>45103</v>
      </c>
      <c r="C218" t="s">
        <v>203</v>
      </c>
      <c r="D218" t="s">
        <v>204</v>
      </c>
      <c r="H218" t="s">
        <v>237</v>
      </c>
      <c r="I218" s="29">
        <v>43000</v>
      </c>
      <c r="J218" s="29"/>
    </row>
    <row r="219" spans="1:10">
      <c r="A219" t="s">
        <v>131</v>
      </c>
      <c r="B219" s="27">
        <v>45103</v>
      </c>
      <c r="C219" t="s">
        <v>203</v>
      </c>
      <c r="D219" t="s">
        <v>204</v>
      </c>
      <c r="H219" t="s">
        <v>238</v>
      </c>
      <c r="I219" s="29">
        <v>43000</v>
      </c>
      <c r="J219" s="29"/>
    </row>
    <row r="220" spans="1:10">
      <c r="A220" t="s">
        <v>131</v>
      </c>
      <c r="B220" s="27">
        <v>45103</v>
      </c>
      <c r="C220" t="s">
        <v>203</v>
      </c>
      <c r="D220" t="s">
        <v>204</v>
      </c>
      <c r="H220" t="s">
        <v>240</v>
      </c>
      <c r="I220" s="29">
        <v>43000</v>
      </c>
      <c r="J220" s="29"/>
    </row>
    <row r="221" spans="1:10">
      <c r="A221" t="s">
        <v>131</v>
      </c>
      <c r="B221" s="27">
        <v>45103</v>
      </c>
      <c r="C221" t="s">
        <v>203</v>
      </c>
      <c r="D221" t="s">
        <v>204</v>
      </c>
      <c r="H221" t="s">
        <v>241</v>
      </c>
      <c r="I221" s="29">
        <v>43000</v>
      </c>
      <c r="J221" s="29"/>
    </row>
    <row r="222" spans="1:10">
      <c r="A222" t="s">
        <v>131</v>
      </c>
      <c r="B222" s="27">
        <v>45104</v>
      </c>
      <c r="C222" t="s">
        <v>203</v>
      </c>
      <c r="D222" t="s">
        <v>204</v>
      </c>
      <c r="H222" t="s">
        <v>243</v>
      </c>
      <c r="I222" s="29">
        <v>43000</v>
      </c>
      <c r="J222" s="29"/>
    </row>
    <row r="223" spans="1:10">
      <c r="A223" t="s">
        <v>131</v>
      </c>
      <c r="B223" s="27">
        <v>45104</v>
      </c>
      <c r="C223" t="s">
        <v>203</v>
      </c>
      <c r="D223" t="s">
        <v>204</v>
      </c>
      <c r="H223" t="s">
        <v>244</v>
      </c>
      <c r="I223" s="29">
        <v>43000</v>
      </c>
      <c r="J223" s="29"/>
    </row>
    <row r="224" spans="1:10">
      <c r="A224" t="s">
        <v>131</v>
      </c>
      <c r="B224" s="27">
        <v>45104</v>
      </c>
      <c r="C224" t="s">
        <v>203</v>
      </c>
      <c r="D224" t="s">
        <v>204</v>
      </c>
      <c r="H224" t="s">
        <v>245</v>
      </c>
      <c r="I224" s="29">
        <v>43000</v>
      </c>
      <c r="J224" s="29"/>
    </row>
    <row r="225" spans="1:10">
      <c r="A225" t="s">
        <v>131</v>
      </c>
      <c r="B225" s="27">
        <v>45105</v>
      </c>
      <c r="C225" t="s">
        <v>203</v>
      </c>
      <c r="D225" t="s">
        <v>204</v>
      </c>
      <c r="H225" t="s">
        <v>249</v>
      </c>
      <c r="I225" s="29">
        <v>43000</v>
      </c>
      <c r="J225" s="29"/>
    </row>
    <row r="226" spans="1:10">
      <c r="A226" t="s">
        <v>131</v>
      </c>
      <c r="B226" s="27">
        <v>45105</v>
      </c>
      <c r="C226" t="s">
        <v>203</v>
      </c>
      <c r="D226" t="s">
        <v>204</v>
      </c>
      <c r="H226" t="s">
        <v>250</v>
      </c>
      <c r="I226" s="29">
        <v>43000</v>
      </c>
      <c r="J226" s="29"/>
    </row>
    <row r="227" spans="1:10">
      <c r="A227" t="s">
        <v>131</v>
      </c>
      <c r="B227" s="27">
        <v>45105</v>
      </c>
      <c r="C227" t="s">
        <v>203</v>
      </c>
      <c r="D227" t="s">
        <v>204</v>
      </c>
      <c r="H227" t="s">
        <v>252</v>
      </c>
      <c r="I227" s="29">
        <v>43000</v>
      </c>
      <c r="J227" s="29"/>
    </row>
    <row r="228" spans="1:10">
      <c r="A228" t="s">
        <v>131</v>
      </c>
      <c r="B228" s="27">
        <v>45106</v>
      </c>
      <c r="C228" t="s">
        <v>203</v>
      </c>
      <c r="D228" t="s">
        <v>204</v>
      </c>
      <c r="H228" t="s">
        <v>256</v>
      </c>
      <c r="I228" s="29">
        <v>43000</v>
      </c>
      <c r="J228" s="29"/>
    </row>
    <row r="229" spans="1:10">
      <c r="A229" t="s">
        <v>131</v>
      </c>
      <c r="B229" s="27">
        <v>45106</v>
      </c>
      <c r="C229" t="s">
        <v>203</v>
      </c>
      <c r="D229" t="s">
        <v>204</v>
      </c>
      <c r="H229" t="s">
        <v>257</v>
      </c>
      <c r="I229" s="29">
        <v>43000</v>
      </c>
      <c r="J229" s="29"/>
    </row>
    <row r="230" spans="1:10">
      <c r="A230" t="s">
        <v>131</v>
      </c>
      <c r="B230" s="27">
        <v>45106</v>
      </c>
      <c r="C230" t="s">
        <v>203</v>
      </c>
      <c r="D230" t="s">
        <v>204</v>
      </c>
      <c r="H230" t="s">
        <v>258</v>
      </c>
      <c r="I230" s="29">
        <v>43000</v>
      </c>
      <c r="J230" s="29"/>
    </row>
    <row r="231" spans="1:10">
      <c r="A231" t="s">
        <v>131</v>
      </c>
      <c r="B231" s="27">
        <v>45107</v>
      </c>
      <c r="C231" t="s">
        <v>203</v>
      </c>
      <c r="D231" t="s">
        <v>204</v>
      </c>
      <c r="H231" t="s">
        <v>261</v>
      </c>
      <c r="I231" s="29">
        <v>43000</v>
      </c>
      <c r="J231" s="29"/>
    </row>
    <row r="232" spans="1:10">
      <c r="A232" t="s">
        <v>131</v>
      </c>
      <c r="B232" s="27">
        <v>45107</v>
      </c>
      <c r="C232" t="s">
        <v>203</v>
      </c>
      <c r="D232" t="s">
        <v>204</v>
      </c>
      <c r="H232" t="s">
        <v>265</v>
      </c>
      <c r="I232" s="29">
        <v>43000</v>
      </c>
      <c r="J232" s="29"/>
    </row>
    <row r="233" spans="1:10">
      <c r="A233" t="s">
        <v>131</v>
      </c>
      <c r="B233" s="27">
        <v>45107</v>
      </c>
      <c r="C233" t="s">
        <v>203</v>
      </c>
      <c r="D233" t="s">
        <v>204</v>
      </c>
      <c r="H233" t="s">
        <v>267</v>
      </c>
      <c r="I233" s="29">
        <v>43000</v>
      </c>
      <c r="J233" s="29"/>
    </row>
    <row r="234" spans="1:10">
      <c r="A234" t="s">
        <v>131</v>
      </c>
      <c r="B234" s="27">
        <v>45107</v>
      </c>
      <c r="C234" t="s">
        <v>203</v>
      </c>
      <c r="D234" t="s">
        <v>204</v>
      </c>
      <c r="H234" t="s">
        <v>268</v>
      </c>
      <c r="I234" s="29">
        <v>43000</v>
      </c>
      <c r="J234" s="29"/>
    </row>
    <row r="235" spans="1:10">
      <c r="A235" t="s">
        <v>131</v>
      </c>
      <c r="B235" s="27">
        <v>45107</v>
      </c>
      <c r="C235" t="s">
        <v>203</v>
      </c>
      <c r="D235" t="s">
        <v>204</v>
      </c>
      <c r="H235" t="s">
        <v>269</v>
      </c>
      <c r="I235" s="29">
        <v>43000</v>
      </c>
      <c r="J235" s="29"/>
    </row>
    <row r="236" spans="1:10">
      <c r="A236" t="s">
        <v>131</v>
      </c>
      <c r="B236" s="27">
        <v>45107</v>
      </c>
      <c r="C236" t="s">
        <v>203</v>
      </c>
      <c r="D236" t="s">
        <v>204</v>
      </c>
      <c r="H236" t="s">
        <v>270</v>
      </c>
      <c r="I236" s="29">
        <v>43000</v>
      </c>
      <c r="J236" s="29"/>
    </row>
    <row r="237" spans="1:10">
      <c r="A237" t="s">
        <v>131</v>
      </c>
      <c r="B237" s="27">
        <v>45107</v>
      </c>
      <c r="C237" t="s">
        <v>203</v>
      </c>
      <c r="D237" t="s">
        <v>204</v>
      </c>
      <c r="H237" t="s">
        <v>272</v>
      </c>
      <c r="I237" s="29">
        <v>43000</v>
      </c>
      <c r="J237" s="29"/>
    </row>
    <row r="238" spans="1:10">
      <c r="A238" t="s">
        <v>131</v>
      </c>
      <c r="B238" s="27">
        <v>45118</v>
      </c>
      <c r="C238" t="s">
        <v>203</v>
      </c>
      <c r="D238" t="s">
        <v>204</v>
      </c>
      <c r="H238" t="s">
        <v>279</v>
      </c>
      <c r="I238" s="29">
        <v>43000</v>
      </c>
      <c r="J238" s="29"/>
    </row>
    <row r="239" spans="1:10">
      <c r="A239" t="s">
        <v>131</v>
      </c>
      <c r="B239" s="27">
        <v>45120</v>
      </c>
      <c r="C239" t="s">
        <v>203</v>
      </c>
      <c r="D239" t="s">
        <v>204</v>
      </c>
      <c r="H239" t="s">
        <v>282</v>
      </c>
      <c r="I239" s="29">
        <v>43000</v>
      </c>
      <c r="J239" s="29"/>
    </row>
    <row r="240" spans="1:10">
      <c r="A240" t="s">
        <v>131</v>
      </c>
      <c r="B240" s="27">
        <v>45125</v>
      </c>
      <c r="C240" t="s">
        <v>203</v>
      </c>
      <c r="D240" t="s">
        <v>204</v>
      </c>
      <c r="H240" t="s">
        <v>283</v>
      </c>
      <c r="I240" s="29">
        <v>43000</v>
      </c>
      <c r="J240" s="29"/>
    </row>
    <row r="241" spans="1:10">
      <c r="A241" t="s">
        <v>131</v>
      </c>
      <c r="B241" s="27">
        <v>45126</v>
      </c>
      <c r="C241" t="s">
        <v>203</v>
      </c>
      <c r="D241" t="s">
        <v>204</v>
      </c>
      <c r="H241" t="s">
        <v>285</v>
      </c>
      <c r="I241" s="29">
        <v>43000</v>
      </c>
      <c r="J241" s="29"/>
    </row>
    <row r="242" spans="1:10">
      <c r="A242" t="s">
        <v>131</v>
      </c>
      <c r="B242" s="27">
        <v>45128</v>
      </c>
      <c r="C242" t="s">
        <v>203</v>
      </c>
      <c r="D242" t="s">
        <v>204</v>
      </c>
      <c r="H242" t="s">
        <v>288</v>
      </c>
      <c r="I242" s="29">
        <v>43000</v>
      </c>
      <c r="J242" s="29"/>
    </row>
    <row r="243" spans="1:10">
      <c r="A243" t="s">
        <v>131</v>
      </c>
      <c r="B243" s="27">
        <v>45133</v>
      </c>
      <c r="C243" t="s">
        <v>203</v>
      </c>
      <c r="D243" t="s">
        <v>204</v>
      </c>
      <c r="H243" t="s">
        <v>291</v>
      </c>
      <c r="I243" s="29">
        <v>43000</v>
      </c>
      <c r="J243" s="29"/>
    </row>
    <row r="244" spans="1:10">
      <c r="A244" t="s">
        <v>131</v>
      </c>
      <c r="B244" s="27">
        <v>45135</v>
      </c>
      <c r="C244" t="s">
        <v>203</v>
      </c>
      <c r="D244" t="s">
        <v>204</v>
      </c>
      <c r="H244" t="s">
        <v>295</v>
      </c>
      <c r="I244" s="29">
        <v>43000</v>
      </c>
      <c r="J244" s="29"/>
    </row>
    <row r="245" spans="1:10">
      <c r="A245" t="s">
        <v>131</v>
      </c>
      <c r="B245" s="27">
        <v>45137</v>
      </c>
      <c r="C245" t="s">
        <v>203</v>
      </c>
      <c r="D245" t="s">
        <v>204</v>
      </c>
      <c r="H245" t="s">
        <v>296</v>
      </c>
      <c r="I245" s="29">
        <v>43000</v>
      </c>
      <c r="J245" s="29"/>
    </row>
    <row r="246" spans="1:10">
      <c r="A246" t="s">
        <v>131</v>
      </c>
      <c r="B246" s="27">
        <v>45141</v>
      </c>
      <c r="C246" t="s">
        <v>203</v>
      </c>
      <c r="D246" t="s">
        <v>204</v>
      </c>
      <c r="H246" t="s">
        <v>303</v>
      </c>
      <c r="I246" s="29">
        <v>43000</v>
      </c>
      <c r="J246" s="29"/>
    </row>
    <row r="247" spans="1:10">
      <c r="A247" t="s">
        <v>131</v>
      </c>
      <c r="B247" s="27">
        <v>45189</v>
      </c>
      <c r="C247" t="s">
        <v>203</v>
      </c>
      <c r="D247" t="s">
        <v>204</v>
      </c>
      <c r="H247" t="s">
        <v>330</v>
      </c>
      <c r="I247" s="29">
        <v>43000</v>
      </c>
      <c r="J247" s="29"/>
    </row>
    <row r="248" spans="1:10">
      <c r="A248" t="s">
        <v>131</v>
      </c>
      <c r="B248" s="27">
        <v>45190</v>
      </c>
      <c r="C248" t="s">
        <v>203</v>
      </c>
      <c r="D248" t="s">
        <v>204</v>
      </c>
      <c r="H248" t="s">
        <v>331</v>
      </c>
      <c r="I248" s="29">
        <v>43000</v>
      </c>
      <c r="J248" s="29"/>
    </row>
    <row r="249" spans="1:10">
      <c r="A249" t="s">
        <v>131</v>
      </c>
      <c r="B249" s="27">
        <v>45198</v>
      </c>
      <c r="C249" t="s">
        <v>203</v>
      </c>
      <c r="D249" t="s">
        <v>204</v>
      </c>
      <c r="H249" t="s">
        <v>344</v>
      </c>
      <c r="I249" s="29">
        <v>43000</v>
      </c>
      <c r="J249" s="29"/>
    </row>
    <row r="250" spans="1:10">
      <c r="A250" t="s">
        <v>129</v>
      </c>
      <c r="B250" s="27">
        <v>45078</v>
      </c>
      <c r="C250" t="s">
        <v>203</v>
      </c>
      <c r="D250" t="s">
        <v>229</v>
      </c>
      <c r="H250" t="s">
        <v>376</v>
      </c>
      <c r="I250" s="29">
        <v>230000</v>
      </c>
      <c r="J250" s="29"/>
    </row>
    <row r="251" spans="1:10">
      <c r="A251" t="s">
        <v>129</v>
      </c>
      <c r="B251" s="27">
        <v>45100</v>
      </c>
      <c r="C251" t="s">
        <v>203</v>
      </c>
      <c r="D251" t="s">
        <v>229</v>
      </c>
      <c r="H251" t="s">
        <v>230</v>
      </c>
      <c r="I251" s="29">
        <v>23000</v>
      </c>
      <c r="J251" s="29"/>
    </row>
    <row r="252" spans="1:10">
      <c r="A252" t="s">
        <v>129</v>
      </c>
      <c r="B252" s="27">
        <v>45101</v>
      </c>
      <c r="C252" t="s">
        <v>203</v>
      </c>
      <c r="D252" t="s">
        <v>229</v>
      </c>
      <c r="H252" t="s">
        <v>233</v>
      </c>
      <c r="I252" s="29">
        <v>23000</v>
      </c>
      <c r="J252" s="29"/>
    </row>
    <row r="253" spans="1:10">
      <c r="A253" t="s">
        <v>129</v>
      </c>
      <c r="B253" s="27">
        <v>45102</v>
      </c>
      <c r="C253" t="s">
        <v>203</v>
      </c>
      <c r="D253" t="s">
        <v>229</v>
      </c>
      <c r="H253" t="s">
        <v>234</v>
      </c>
      <c r="I253" s="29">
        <v>23000</v>
      </c>
      <c r="J253" s="29"/>
    </row>
    <row r="254" spans="1:10">
      <c r="A254" t="s">
        <v>129</v>
      </c>
      <c r="B254" s="27">
        <v>45103</v>
      </c>
      <c r="C254" t="s">
        <v>203</v>
      </c>
      <c r="D254" t="s">
        <v>229</v>
      </c>
      <c r="H254" t="s">
        <v>235</v>
      </c>
      <c r="I254" s="29">
        <v>23000</v>
      </c>
      <c r="J254" s="29"/>
    </row>
    <row r="255" spans="1:10">
      <c r="A255" t="s">
        <v>129</v>
      </c>
      <c r="B255" s="27">
        <v>45103</v>
      </c>
      <c r="C255" t="s">
        <v>203</v>
      </c>
      <c r="D255" t="s">
        <v>229</v>
      </c>
      <c r="H255" t="s">
        <v>236</v>
      </c>
      <c r="I255" s="29">
        <v>23000</v>
      </c>
      <c r="J255" s="29"/>
    </row>
    <row r="256" spans="1:10">
      <c r="A256" t="s">
        <v>129</v>
      </c>
      <c r="B256" s="27">
        <v>45103</v>
      </c>
      <c r="C256" t="s">
        <v>203</v>
      </c>
      <c r="D256" t="s">
        <v>229</v>
      </c>
      <c r="H256" t="s">
        <v>239</v>
      </c>
      <c r="I256" s="29">
        <v>23000</v>
      </c>
      <c r="J256" s="29"/>
    </row>
    <row r="257" spans="1:10">
      <c r="A257" t="s">
        <v>129</v>
      </c>
      <c r="B257" s="27">
        <v>45103</v>
      </c>
      <c r="C257" t="s">
        <v>203</v>
      </c>
      <c r="D257" t="s">
        <v>229</v>
      </c>
      <c r="H257" t="s">
        <v>242</v>
      </c>
      <c r="I257" s="29">
        <v>23000</v>
      </c>
      <c r="J257" s="29"/>
    </row>
    <row r="258" spans="1:10">
      <c r="A258" t="s">
        <v>129</v>
      </c>
      <c r="B258" s="27">
        <v>45105</v>
      </c>
      <c r="C258" t="s">
        <v>203</v>
      </c>
      <c r="D258" t="s">
        <v>229</v>
      </c>
      <c r="H258" t="s">
        <v>246</v>
      </c>
      <c r="I258" s="29">
        <v>23000</v>
      </c>
      <c r="J258" s="29"/>
    </row>
    <row r="259" spans="1:10">
      <c r="A259" t="s">
        <v>129</v>
      </c>
      <c r="B259" s="27">
        <v>45105</v>
      </c>
      <c r="C259" t="s">
        <v>203</v>
      </c>
      <c r="D259" t="s">
        <v>229</v>
      </c>
      <c r="H259" t="s">
        <v>247</v>
      </c>
      <c r="I259" s="29">
        <v>23000</v>
      </c>
      <c r="J259" s="29"/>
    </row>
    <row r="260" spans="1:10">
      <c r="A260" t="s">
        <v>129</v>
      </c>
      <c r="B260" s="27">
        <v>45105</v>
      </c>
      <c r="C260" t="s">
        <v>203</v>
      </c>
      <c r="D260" t="s">
        <v>229</v>
      </c>
      <c r="H260" t="s">
        <v>248</v>
      </c>
      <c r="I260" s="29">
        <v>23000</v>
      </c>
      <c r="J260" s="29"/>
    </row>
    <row r="261" spans="1:10">
      <c r="A261" t="s">
        <v>129</v>
      </c>
      <c r="B261" s="27">
        <v>45105</v>
      </c>
      <c r="C261" t="s">
        <v>203</v>
      </c>
      <c r="D261" t="s">
        <v>229</v>
      </c>
      <c r="H261" t="s">
        <v>251</v>
      </c>
      <c r="I261" s="29">
        <v>23000</v>
      </c>
      <c r="J261" s="29"/>
    </row>
    <row r="262" spans="1:10">
      <c r="A262" t="s">
        <v>129</v>
      </c>
      <c r="B262" s="27">
        <v>45105</v>
      </c>
      <c r="C262" t="s">
        <v>203</v>
      </c>
      <c r="D262" t="s">
        <v>229</v>
      </c>
      <c r="H262" t="s">
        <v>253</v>
      </c>
      <c r="I262" s="29">
        <v>23000</v>
      </c>
      <c r="J262" s="29"/>
    </row>
    <row r="263" spans="1:10">
      <c r="A263" t="s">
        <v>129</v>
      </c>
      <c r="B263" s="27">
        <v>45106</v>
      </c>
      <c r="C263" t="s">
        <v>203</v>
      </c>
      <c r="D263" t="s">
        <v>229</v>
      </c>
      <c r="H263" t="s">
        <v>254</v>
      </c>
      <c r="I263" s="29">
        <v>23000</v>
      </c>
      <c r="J263" s="29"/>
    </row>
    <row r="264" spans="1:10">
      <c r="A264" t="s">
        <v>129</v>
      </c>
      <c r="B264" s="27">
        <v>45106</v>
      </c>
      <c r="C264" t="s">
        <v>203</v>
      </c>
      <c r="D264" t="s">
        <v>229</v>
      </c>
      <c r="H264" t="s">
        <v>255</v>
      </c>
      <c r="I264" s="29">
        <v>23000</v>
      </c>
      <c r="J264" s="29"/>
    </row>
    <row r="265" spans="1:10">
      <c r="A265" t="s">
        <v>129</v>
      </c>
      <c r="B265" s="27">
        <v>45106</v>
      </c>
      <c r="C265" t="s">
        <v>203</v>
      </c>
      <c r="D265" t="s">
        <v>229</v>
      </c>
      <c r="H265" t="s">
        <v>259</v>
      </c>
      <c r="I265" s="29">
        <v>23000</v>
      </c>
      <c r="J265" s="29"/>
    </row>
    <row r="266" spans="1:10">
      <c r="A266" t="s">
        <v>129</v>
      </c>
      <c r="B266" s="27">
        <v>45106</v>
      </c>
      <c r="C266" t="s">
        <v>203</v>
      </c>
      <c r="D266" t="s">
        <v>229</v>
      </c>
      <c r="H266" t="s">
        <v>260</v>
      </c>
      <c r="I266" s="29">
        <v>23000</v>
      </c>
      <c r="J266" s="29"/>
    </row>
    <row r="267" spans="1:10">
      <c r="A267" t="s">
        <v>129</v>
      </c>
      <c r="B267" s="27">
        <v>45107</v>
      </c>
      <c r="C267" t="s">
        <v>203</v>
      </c>
      <c r="D267" t="s">
        <v>229</v>
      </c>
      <c r="H267" t="s">
        <v>271</v>
      </c>
      <c r="I267" s="29">
        <v>23000</v>
      </c>
      <c r="J267" s="29"/>
    </row>
    <row r="268" spans="1:10">
      <c r="A268" t="s">
        <v>129</v>
      </c>
      <c r="B268" s="27">
        <v>45111</v>
      </c>
      <c r="C268" t="s">
        <v>203</v>
      </c>
      <c r="D268" t="s">
        <v>229</v>
      </c>
      <c r="H268" t="s">
        <v>273</v>
      </c>
      <c r="I268" s="29">
        <v>23000</v>
      </c>
      <c r="J268" s="29"/>
    </row>
    <row r="269" spans="1:10">
      <c r="A269" t="s">
        <v>129</v>
      </c>
      <c r="B269" s="27">
        <v>45112</v>
      </c>
      <c r="C269" t="s">
        <v>203</v>
      </c>
      <c r="D269" t="s">
        <v>229</v>
      </c>
      <c r="H269" t="s">
        <v>274</v>
      </c>
      <c r="I269" s="29">
        <v>23000</v>
      </c>
      <c r="J269" s="29"/>
    </row>
    <row r="270" spans="1:10">
      <c r="A270" t="s">
        <v>129</v>
      </c>
      <c r="B270" s="27">
        <v>45114</v>
      </c>
      <c r="C270" t="s">
        <v>203</v>
      </c>
      <c r="D270" t="s">
        <v>229</v>
      </c>
      <c r="H270" t="s">
        <v>277</v>
      </c>
      <c r="I270" s="29">
        <v>23000</v>
      </c>
      <c r="J270" s="29"/>
    </row>
    <row r="271" spans="1:10">
      <c r="A271" t="s">
        <v>129</v>
      </c>
      <c r="B271" s="27">
        <v>45114</v>
      </c>
      <c r="C271" t="s">
        <v>203</v>
      </c>
      <c r="D271" t="s">
        <v>229</v>
      </c>
      <c r="H271" t="s">
        <v>278</v>
      </c>
      <c r="I271" s="29">
        <v>23000</v>
      </c>
      <c r="J271" s="29"/>
    </row>
    <row r="272" spans="1:10">
      <c r="A272" t="s">
        <v>129</v>
      </c>
      <c r="B272" s="27">
        <v>45125</v>
      </c>
      <c r="C272" t="s">
        <v>203</v>
      </c>
      <c r="D272" t="s">
        <v>229</v>
      </c>
      <c r="H272" t="s">
        <v>284</v>
      </c>
      <c r="I272" s="29">
        <v>23000</v>
      </c>
      <c r="J272" s="29"/>
    </row>
    <row r="273" spans="1:10">
      <c r="A273" t="s">
        <v>129</v>
      </c>
      <c r="B273" s="27">
        <v>45127</v>
      </c>
      <c r="C273" t="s">
        <v>203</v>
      </c>
      <c r="D273" t="s">
        <v>229</v>
      </c>
      <c r="H273" t="s">
        <v>287</v>
      </c>
      <c r="I273" s="29">
        <v>23000</v>
      </c>
      <c r="J273" s="29"/>
    </row>
    <row r="274" spans="1:10">
      <c r="A274" t="s">
        <v>129</v>
      </c>
      <c r="B274" s="27">
        <v>45132</v>
      </c>
      <c r="C274" t="s">
        <v>203</v>
      </c>
      <c r="D274" t="s">
        <v>229</v>
      </c>
      <c r="H274" t="s">
        <v>290</v>
      </c>
      <c r="I274" s="29">
        <v>23000</v>
      </c>
      <c r="J274" s="29"/>
    </row>
    <row r="275" spans="1:10">
      <c r="A275" t="s">
        <v>129</v>
      </c>
      <c r="B275" s="27">
        <v>45133</v>
      </c>
      <c r="C275" t="s">
        <v>203</v>
      </c>
      <c r="D275" t="s">
        <v>229</v>
      </c>
      <c r="H275" t="s">
        <v>292</v>
      </c>
      <c r="I275" s="29">
        <v>23000</v>
      </c>
      <c r="J275" s="29"/>
    </row>
    <row r="276" spans="1:10">
      <c r="A276" t="s">
        <v>129</v>
      </c>
      <c r="B276" s="27">
        <v>45133</v>
      </c>
      <c r="C276" t="s">
        <v>203</v>
      </c>
      <c r="D276" t="s">
        <v>229</v>
      </c>
      <c r="H276" t="s">
        <v>293</v>
      </c>
      <c r="I276" s="29">
        <v>23000</v>
      </c>
      <c r="J276" s="29"/>
    </row>
    <row r="277" spans="1:10">
      <c r="A277" t="s">
        <v>129</v>
      </c>
      <c r="B277" s="27">
        <v>45134</v>
      </c>
      <c r="C277" t="s">
        <v>203</v>
      </c>
      <c r="D277" t="s">
        <v>229</v>
      </c>
      <c r="H277" t="s">
        <v>294</v>
      </c>
      <c r="I277" s="29">
        <v>23000</v>
      </c>
      <c r="J277" s="29"/>
    </row>
    <row r="278" spans="1:10">
      <c r="A278" t="s">
        <v>129</v>
      </c>
      <c r="B278" s="27">
        <v>45184</v>
      </c>
      <c r="C278" t="s">
        <v>203</v>
      </c>
      <c r="D278" t="s">
        <v>229</v>
      </c>
      <c r="H278" t="s">
        <v>385</v>
      </c>
      <c r="I278" s="29"/>
      <c r="J278" s="29">
        <v>23000</v>
      </c>
    </row>
    <row r="279" spans="1:10">
      <c r="A279" t="s">
        <v>129</v>
      </c>
      <c r="B279" s="27">
        <v>45185</v>
      </c>
      <c r="C279" t="s">
        <v>203</v>
      </c>
      <c r="D279" t="s">
        <v>229</v>
      </c>
      <c r="H279" t="s">
        <v>329</v>
      </c>
      <c r="I279" s="29">
        <v>23000</v>
      </c>
      <c r="J279" s="29"/>
    </row>
    <row r="280" spans="1:10">
      <c r="A280" t="s">
        <v>378</v>
      </c>
      <c r="B280" s="27">
        <v>45078</v>
      </c>
      <c r="C280" t="s">
        <v>203</v>
      </c>
      <c r="D280" t="s">
        <v>377</v>
      </c>
      <c r="H280" t="s">
        <v>379</v>
      </c>
      <c r="I280" s="29">
        <v>120000</v>
      </c>
      <c r="J280" s="29"/>
    </row>
    <row r="281" spans="1:10">
      <c r="A281" t="s">
        <v>225</v>
      </c>
      <c r="B281" s="27">
        <v>45100</v>
      </c>
      <c r="C281" t="s">
        <v>203</v>
      </c>
      <c r="D281" t="s">
        <v>224</v>
      </c>
      <c r="H281" t="s">
        <v>226</v>
      </c>
      <c r="I281" s="29">
        <v>10000</v>
      </c>
      <c r="J281" s="29"/>
    </row>
    <row r="282" spans="1:10">
      <c r="A282" t="s">
        <v>123</v>
      </c>
      <c r="B282" s="27">
        <v>45071</v>
      </c>
      <c r="C282" t="s">
        <v>198</v>
      </c>
      <c r="D282" t="s">
        <v>199</v>
      </c>
      <c r="G282" t="s">
        <v>200</v>
      </c>
      <c r="H282" t="s">
        <v>201</v>
      </c>
      <c r="I282" s="29">
        <v>2000</v>
      </c>
      <c r="J282" s="29"/>
    </row>
    <row r="283" spans="1:10">
      <c r="A283" t="s">
        <v>123</v>
      </c>
      <c r="B283" s="27">
        <v>45078</v>
      </c>
      <c r="C283" t="s">
        <v>198</v>
      </c>
      <c r="D283" t="s">
        <v>199</v>
      </c>
      <c r="G283" t="s">
        <v>200</v>
      </c>
      <c r="H283" t="s">
        <v>202</v>
      </c>
      <c r="I283" s="29">
        <v>50000</v>
      </c>
      <c r="J283" s="29"/>
    </row>
    <row r="284" spans="1:10">
      <c r="A284" t="s">
        <v>123</v>
      </c>
      <c r="B284" s="27">
        <v>45085</v>
      </c>
      <c r="C284" t="s">
        <v>198</v>
      </c>
      <c r="D284" t="s">
        <v>199</v>
      </c>
      <c r="G284" t="s">
        <v>200</v>
      </c>
      <c r="H284" t="s">
        <v>208</v>
      </c>
      <c r="I284" s="29">
        <v>48000</v>
      </c>
      <c r="J284" s="29"/>
    </row>
    <row r="285" spans="1:10">
      <c r="A285" t="s">
        <v>123</v>
      </c>
      <c r="B285" s="27">
        <v>45096</v>
      </c>
      <c r="C285" t="s">
        <v>198</v>
      </c>
      <c r="D285" t="s">
        <v>199</v>
      </c>
      <c r="G285" t="s">
        <v>213</v>
      </c>
      <c r="H285" t="s">
        <v>214</v>
      </c>
      <c r="I285" s="29">
        <v>158000</v>
      </c>
      <c r="J285" s="29"/>
    </row>
    <row r="286" spans="1:10">
      <c r="A286" t="s">
        <v>123</v>
      </c>
      <c r="B286" s="27">
        <v>45096</v>
      </c>
      <c r="C286" t="s">
        <v>198</v>
      </c>
      <c r="D286" t="s">
        <v>199</v>
      </c>
      <c r="G286" t="s">
        <v>213</v>
      </c>
      <c r="I286" s="29">
        <v>20000</v>
      </c>
      <c r="J286" s="29"/>
    </row>
    <row r="287" spans="1:10">
      <c r="A287" t="s">
        <v>123</v>
      </c>
      <c r="B287" s="27">
        <v>45194</v>
      </c>
      <c r="C287" t="s">
        <v>198</v>
      </c>
      <c r="D287" t="s">
        <v>199</v>
      </c>
      <c r="G287" t="s">
        <v>332</v>
      </c>
      <c r="H287" t="s">
        <v>335</v>
      </c>
      <c r="I287" s="29">
        <v>86000</v>
      </c>
      <c r="J287" s="29"/>
    </row>
    <row r="288" spans="1:10">
      <c r="A288" t="s">
        <v>128</v>
      </c>
      <c r="B288" s="27">
        <v>45086</v>
      </c>
      <c r="C288" t="s">
        <v>198</v>
      </c>
      <c r="D288" t="s">
        <v>209</v>
      </c>
      <c r="G288" t="s">
        <v>210</v>
      </c>
      <c r="H288" t="s">
        <v>211</v>
      </c>
      <c r="I288" s="29">
        <v>25000</v>
      </c>
      <c r="J288" s="29"/>
    </row>
    <row r="289" spans="1:10">
      <c r="A289" t="s">
        <v>128</v>
      </c>
      <c r="B289" s="27">
        <v>45089</v>
      </c>
      <c r="C289" t="s">
        <v>198</v>
      </c>
      <c r="D289" t="s">
        <v>209</v>
      </c>
      <c r="G289" t="s">
        <v>210</v>
      </c>
      <c r="H289" t="s">
        <v>212</v>
      </c>
      <c r="I289" s="29">
        <v>25000</v>
      </c>
      <c r="J289" s="29"/>
    </row>
    <row r="290" spans="1:10">
      <c r="A290" t="s">
        <v>128</v>
      </c>
      <c r="B290" s="27">
        <v>45107</v>
      </c>
      <c r="C290" t="s">
        <v>198</v>
      </c>
      <c r="D290" t="s">
        <v>209</v>
      </c>
      <c r="G290" t="s">
        <v>210</v>
      </c>
      <c r="H290" t="s">
        <v>262</v>
      </c>
      <c r="I290" s="29">
        <v>25000</v>
      </c>
      <c r="J290" s="29"/>
    </row>
    <row r="291" spans="1:10">
      <c r="A291" t="s">
        <v>128</v>
      </c>
      <c r="B291" s="27">
        <v>45107</v>
      </c>
      <c r="C291" t="s">
        <v>198</v>
      </c>
      <c r="D291" t="s">
        <v>209</v>
      </c>
      <c r="G291" t="s">
        <v>210</v>
      </c>
      <c r="H291" t="s">
        <v>263</v>
      </c>
      <c r="I291" s="29">
        <v>50000</v>
      </c>
      <c r="J291" s="29"/>
    </row>
    <row r="292" spans="1:10">
      <c r="A292" t="s">
        <v>128</v>
      </c>
      <c r="B292" s="27">
        <v>45107</v>
      </c>
      <c r="C292" t="s">
        <v>198</v>
      </c>
      <c r="D292" t="s">
        <v>209</v>
      </c>
      <c r="G292" t="s">
        <v>210</v>
      </c>
      <c r="H292" t="s">
        <v>264</v>
      </c>
      <c r="I292" s="29">
        <v>25000</v>
      </c>
      <c r="J292" s="29"/>
    </row>
    <row r="293" spans="1:10">
      <c r="A293" t="s">
        <v>128</v>
      </c>
      <c r="B293" s="27">
        <v>45107</v>
      </c>
      <c r="C293" t="s">
        <v>198</v>
      </c>
      <c r="D293" t="s">
        <v>209</v>
      </c>
      <c r="G293" t="s">
        <v>210</v>
      </c>
      <c r="H293" t="s">
        <v>266</v>
      </c>
      <c r="I293" s="29">
        <v>25000</v>
      </c>
      <c r="J293" s="29"/>
    </row>
    <row r="294" spans="1:10">
      <c r="A294" t="s">
        <v>128</v>
      </c>
      <c r="B294" s="27">
        <v>45127</v>
      </c>
      <c r="C294" t="s">
        <v>198</v>
      </c>
      <c r="D294" t="s">
        <v>209</v>
      </c>
      <c r="G294" t="s">
        <v>210</v>
      </c>
      <c r="H294" t="s">
        <v>286</v>
      </c>
      <c r="I294" s="29">
        <v>25000</v>
      </c>
      <c r="J294" s="29"/>
    </row>
    <row r="295" spans="1:10">
      <c r="A295" t="s">
        <v>128</v>
      </c>
      <c r="B295" s="27">
        <v>45132</v>
      </c>
      <c r="C295" t="s">
        <v>198</v>
      </c>
      <c r="D295" t="s">
        <v>209</v>
      </c>
      <c r="G295" t="s">
        <v>210</v>
      </c>
      <c r="H295" t="s">
        <v>289</v>
      </c>
      <c r="I295" s="29">
        <v>25000</v>
      </c>
      <c r="J295" s="29"/>
    </row>
    <row r="296" spans="1:10">
      <c r="A296" t="s">
        <v>128</v>
      </c>
      <c r="B296" s="27">
        <v>45138</v>
      </c>
      <c r="C296" t="s">
        <v>198</v>
      </c>
      <c r="D296" t="s">
        <v>209</v>
      </c>
      <c r="G296" t="s">
        <v>210</v>
      </c>
      <c r="H296" t="s">
        <v>297</v>
      </c>
      <c r="I296" s="29">
        <v>25000</v>
      </c>
      <c r="J296" s="29"/>
    </row>
    <row r="297" spans="1:10">
      <c r="A297" t="s">
        <v>128</v>
      </c>
      <c r="B297" s="27">
        <v>45138</v>
      </c>
      <c r="C297" t="s">
        <v>198</v>
      </c>
      <c r="D297" t="s">
        <v>209</v>
      </c>
      <c r="G297" t="s">
        <v>210</v>
      </c>
      <c r="H297" t="s">
        <v>298</v>
      </c>
      <c r="I297" s="29">
        <v>25000</v>
      </c>
      <c r="J297" s="29"/>
    </row>
    <row r="298" spans="1:10">
      <c r="A298" t="s">
        <v>128</v>
      </c>
      <c r="B298" s="27">
        <v>45138</v>
      </c>
      <c r="C298" t="s">
        <v>198</v>
      </c>
      <c r="D298" t="s">
        <v>209</v>
      </c>
      <c r="G298" t="s">
        <v>210</v>
      </c>
      <c r="H298" t="s">
        <v>299</v>
      </c>
      <c r="I298" s="29">
        <v>25000</v>
      </c>
      <c r="J298" s="29"/>
    </row>
    <row r="299" spans="1:10">
      <c r="A299" t="s">
        <v>128</v>
      </c>
      <c r="B299" s="27">
        <v>45138</v>
      </c>
      <c r="C299" t="s">
        <v>198</v>
      </c>
      <c r="D299" t="s">
        <v>209</v>
      </c>
      <c r="G299" t="s">
        <v>210</v>
      </c>
      <c r="H299" t="s">
        <v>300</v>
      </c>
      <c r="I299" s="29">
        <v>50000</v>
      </c>
      <c r="J299" s="29"/>
    </row>
    <row r="300" spans="1:10">
      <c r="A300" t="s">
        <v>128</v>
      </c>
      <c r="B300" s="27">
        <v>45138</v>
      </c>
      <c r="C300" t="s">
        <v>198</v>
      </c>
      <c r="D300" t="s">
        <v>209</v>
      </c>
      <c r="G300" t="s">
        <v>210</v>
      </c>
      <c r="H300" t="s">
        <v>301</v>
      </c>
      <c r="I300" s="29">
        <v>25000</v>
      </c>
      <c r="J300" s="29"/>
    </row>
    <row r="301" spans="1:10">
      <c r="A301" t="s">
        <v>128</v>
      </c>
      <c r="B301" s="27">
        <v>45138</v>
      </c>
      <c r="C301" t="s">
        <v>198</v>
      </c>
      <c r="D301" t="s">
        <v>209</v>
      </c>
      <c r="G301" t="s">
        <v>210</v>
      </c>
      <c r="H301" t="s">
        <v>302</v>
      </c>
      <c r="I301" s="29">
        <v>25000</v>
      </c>
      <c r="J301" s="29"/>
    </row>
    <row r="302" spans="1:10">
      <c r="A302" t="s">
        <v>128</v>
      </c>
      <c r="B302" s="27">
        <v>45145</v>
      </c>
      <c r="C302" t="s">
        <v>198</v>
      </c>
      <c r="D302" t="s">
        <v>209</v>
      </c>
      <c r="G302" t="s">
        <v>210</v>
      </c>
      <c r="H302" t="s">
        <v>305</v>
      </c>
      <c r="I302" s="29">
        <v>25000</v>
      </c>
      <c r="J302" s="29"/>
    </row>
    <row r="303" spans="1:10">
      <c r="A303" t="s">
        <v>128</v>
      </c>
      <c r="B303" s="27">
        <v>45281</v>
      </c>
      <c r="C303" t="s">
        <v>198</v>
      </c>
      <c r="D303" t="s">
        <v>209</v>
      </c>
      <c r="G303" t="s">
        <v>371</v>
      </c>
      <c r="H303" t="s">
        <v>212</v>
      </c>
      <c r="I303" s="29">
        <v>25000</v>
      </c>
      <c r="J303" s="29"/>
    </row>
    <row r="304" spans="1:10">
      <c r="A304" t="s">
        <v>128</v>
      </c>
      <c r="B304" s="27">
        <v>45287</v>
      </c>
      <c r="C304" t="s">
        <v>198</v>
      </c>
      <c r="D304" t="s">
        <v>209</v>
      </c>
      <c r="G304" t="s">
        <v>371</v>
      </c>
      <c r="H304" t="s">
        <v>264</v>
      </c>
      <c r="I304" s="29">
        <v>25000</v>
      </c>
      <c r="J304" s="29"/>
    </row>
    <row r="305" spans="1:10">
      <c r="A305" t="s">
        <v>128</v>
      </c>
      <c r="B305" s="27">
        <v>45287</v>
      </c>
      <c r="C305" t="s">
        <v>198</v>
      </c>
      <c r="D305" t="s">
        <v>209</v>
      </c>
      <c r="G305" t="s">
        <v>371</v>
      </c>
      <c r="H305" t="s">
        <v>211</v>
      </c>
      <c r="I305" s="29">
        <v>25000</v>
      </c>
      <c r="J305" s="29"/>
    </row>
    <row r="306" spans="1:10">
      <c r="A306" t="s">
        <v>128</v>
      </c>
      <c r="B306" s="27">
        <v>45322</v>
      </c>
      <c r="C306" t="s">
        <v>198</v>
      </c>
      <c r="D306" t="s">
        <v>209</v>
      </c>
      <c r="G306" t="s">
        <v>371</v>
      </c>
      <c r="H306" t="s">
        <v>262</v>
      </c>
      <c r="I306" s="29">
        <v>25000</v>
      </c>
      <c r="J306" s="29"/>
    </row>
    <row r="307" spans="1:10">
      <c r="A307" t="s">
        <v>128</v>
      </c>
      <c r="B307" s="27">
        <v>45322</v>
      </c>
      <c r="C307" t="s">
        <v>198</v>
      </c>
      <c r="D307" t="s">
        <v>209</v>
      </c>
      <c r="G307" t="s">
        <v>371</v>
      </c>
      <c r="H307" t="s">
        <v>390</v>
      </c>
      <c r="I307" s="29">
        <v>25000</v>
      </c>
      <c r="J307" s="29"/>
    </row>
    <row r="308" spans="1:10">
      <c r="A308" t="s">
        <v>128</v>
      </c>
      <c r="B308" s="27">
        <v>45337</v>
      </c>
      <c r="C308" t="s">
        <v>198</v>
      </c>
      <c r="D308" t="s">
        <v>209</v>
      </c>
      <c r="G308" t="s">
        <v>371</v>
      </c>
      <c r="H308" t="s">
        <v>466</v>
      </c>
      <c r="I308" s="29">
        <v>25000</v>
      </c>
      <c r="J308" s="29"/>
    </row>
    <row r="309" spans="1:10">
      <c r="A309" t="s">
        <v>128</v>
      </c>
      <c r="B309" s="27">
        <v>45342</v>
      </c>
      <c r="C309" t="s">
        <v>198</v>
      </c>
      <c r="D309" t="s">
        <v>209</v>
      </c>
      <c r="G309" t="s">
        <v>371</v>
      </c>
      <c r="H309" t="s">
        <v>467</v>
      </c>
      <c r="I309" s="29">
        <v>25000</v>
      </c>
      <c r="J309" s="29"/>
    </row>
    <row r="310" spans="1:10">
      <c r="A310" t="s">
        <v>128</v>
      </c>
      <c r="B310" s="27">
        <v>45342</v>
      </c>
      <c r="C310" t="s">
        <v>198</v>
      </c>
      <c r="D310" t="s">
        <v>209</v>
      </c>
      <c r="G310" t="s">
        <v>371</v>
      </c>
      <c r="H310" t="s">
        <v>263</v>
      </c>
      <c r="I310" s="29">
        <v>50000</v>
      </c>
      <c r="J310" s="29"/>
    </row>
    <row r="311" spans="1:10">
      <c r="A311" t="s">
        <v>128</v>
      </c>
      <c r="B311" s="27">
        <v>45342</v>
      </c>
      <c r="C311" t="s">
        <v>198</v>
      </c>
      <c r="D311" t="s">
        <v>209</v>
      </c>
      <c r="G311" t="s">
        <v>371</v>
      </c>
      <c r="H311" t="s">
        <v>468</v>
      </c>
      <c r="I311" s="29">
        <v>25000</v>
      </c>
      <c r="J311" s="29"/>
    </row>
    <row r="312" spans="1:10">
      <c r="A312" t="s">
        <v>128</v>
      </c>
      <c r="B312" s="27">
        <v>45344</v>
      </c>
      <c r="C312" t="s">
        <v>198</v>
      </c>
      <c r="D312" t="s">
        <v>209</v>
      </c>
      <c r="G312" t="s">
        <v>371</v>
      </c>
      <c r="H312" t="s">
        <v>289</v>
      </c>
      <c r="I312" s="29">
        <v>25000</v>
      </c>
      <c r="J312" s="29"/>
    </row>
    <row r="313" spans="1:10">
      <c r="A313" t="s">
        <v>128</v>
      </c>
      <c r="B313" s="27">
        <v>45344</v>
      </c>
      <c r="C313" t="s">
        <v>198</v>
      </c>
      <c r="D313" t="s">
        <v>209</v>
      </c>
      <c r="G313" t="s">
        <v>371</v>
      </c>
      <c r="H313" t="s">
        <v>286</v>
      </c>
      <c r="I313" s="29">
        <v>25000</v>
      </c>
      <c r="J313" s="29"/>
    </row>
    <row r="314" spans="1:10">
      <c r="A314" t="s">
        <v>128</v>
      </c>
      <c r="B314" s="27">
        <v>45348</v>
      </c>
      <c r="C314" t="s">
        <v>198</v>
      </c>
      <c r="D314" t="s">
        <v>209</v>
      </c>
      <c r="G314" t="s">
        <v>371</v>
      </c>
      <c r="H314" t="s">
        <v>480</v>
      </c>
      <c r="I314" s="29">
        <v>25000</v>
      </c>
      <c r="J314" s="29"/>
    </row>
    <row r="315" spans="1:10">
      <c r="A315" t="s">
        <v>128</v>
      </c>
      <c r="B315" s="27">
        <v>45350</v>
      </c>
      <c r="C315" t="s">
        <v>198</v>
      </c>
      <c r="D315" t="s">
        <v>209</v>
      </c>
      <c r="G315" t="s">
        <v>371</v>
      </c>
      <c r="H315" t="s">
        <v>301</v>
      </c>
      <c r="I315" s="29">
        <v>25000</v>
      </c>
      <c r="J315" s="29"/>
    </row>
    <row r="316" spans="1:10">
      <c r="A316" t="s">
        <v>128</v>
      </c>
      <c r="B316" s="27">
        <v>45351</v>
      </c>
      <c r="C316" t="s">
        <v>198</v>
      </c>
      <c r="D316" t="s">
        <v>209</v>
      </c>
      <c r="G316" t="s">
        <v>371</v>
      </c>
      <c r="H316" t="s">
        <v>297</v>
      </c>
      <c r="I316" s="29">
        <v>25000</v>
      </c>
      <c r="J316" s="29"/>
    </row>
    <row r="317" spans="1:10">
      <c r="A317" t="s">
        <v>128</v>
      </c>
      <c r="B317" s="27">
        <v>45351</v>
      </c>
      <c r="C317" t="s">
        <v>198</v>
      </c>
      <c r="D317" t="s">
        <v>209</v>
      </c>
      <c r="G317" t="s">
        <v>371</v>
      </c>
      <c r="H317" t="s">
        <v>481</v>
      </c>
      <c r="I317" s="29">
        <v>50000</v>
      </c>
      <c r="J317" s="29"/>
    </row>
    <row r="318" spans="1:10">
      <c r="A318" t="s">
        <v>132</v>
      </c>
      <c r="B318" s="27">
        <v>45150</v>
      </c>
      <c r="C318" t="s">
        <v>198</v>
      </c>
      <c r="D318" t="s">
        <v>198</v>
      </c>
      <c r="H318" t="s">
        <v>306</v>
      </c>
      <c r="I318" s="29">
        <v>26</v>
      </c>
      <c r="J318" s="29"/>
    </row>
    <row r="319" spans="1:10">
      <c r="A319" t="s">
        <v>132</v>
      </c>
      <c r="B319" s="27">
        <v>45332</v>
      </c>
      <c r="C319" t="s">
        <v>198</v>
      </c>
      <c r="D319" t="s">
        <v>198</v>
      </c>
      <c r="H319" t="s">
        <v>465</v>
      </c>
      <c r="I319" s="29">
        <v>33</v>
      </c>
      <c r="J319" s="29"/>
    </row>
    <row r="320" spans="1:10">
      <c r="A320" t="s">
        <v>133</v>
      </c>
      <c r="B320" s="27">
        <v>45156</v>
      </c>
      <c r="C320" t="s">
        <v>307</v>
      </c>
      <c r="D320" t="s">
        <v>307</v>
      </c>
      <c r="H320" t="s">
        <v>308</v>
      </c>
      <c r="I320" s="29">
        <v>500000</v>
      </c>
      <c r="J320" s="29"/>
    </row>
    <row r="321" spans="1:10">
      <c r="A321" t="s">
        <v>133</v>
      </c>
      <c r="B321" s="27">
        <v>45327</v>
      </c>
      <c r="C321" t="s">
        <v>307</v>
      </c>
      <c r="D321" t="s">
        <v>307</v>
      </c>
      <c r="H321" t="s">
        <v>392</v>
      </c>
      <c r="I321" s="29">
        <v>65000</v>
      </c>
      <c r="J321" s="29"/>
    </row>
    <row r="322" spans="1:10">
      <c r="A322" t="s">
        <v>141</v>
      </c>
      <c r="I322" s="29">
        <f>SUBTOTAL(109,テーブル現金出納記録[借方金額])</f>
        <v>4965255</v>
      </c>
      <c r="J322" s="29">
        <f>SUBTOTAL(109,テーブル現金出納記録[貸方金額])</f>
        <v>3927087</v>
      </c>
    </row>
  </sheetData>
  <sortState xmlns:xlrd2="http://schemas.microsoft.com/office/spreadsheetml/2017/richdata2" ref="A34:J321">
    <sortCondition ref="A34"/>
    <sortCondition ref="B34"/>
  </sortState>
  <phoneticPr fontId="2"/>
  <pageMargins left="0.70866141732283472" right="0.70866141732283472" top="0.74803149606299213" bottom="0.74803149606299213" header="0.31496062992125984" footer="0.31496062992125984"/>
  <pageSetup paperSize="8" scale="81" fitToHeight="0" orientation="portrait" r:id="rId1"/>
  <headerFooter>
    <oddHeader>&amp;C青森県眼科医会　令和4年度　現金出納　勘定科目毎の小計</oddHeader>
    <oddFooter>&amp;C&amp;P／&amp;N</oddFooter>
  </headerFooter>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D8B4C-D8B9-4B22-AC88-564512CC86DB}">
  <sheetPr codeName="Sheet7"/>
  <dimension ref="A1:I18"/>
  <sheetViews>
    <sheetView workbookViewId="0"/>
  </sheetViews>
  <sheetFormatPr defaultRowHeight="13"/>
  <cols>
    <col min="2" max="2" width="11.36328125" bestFit="1" customWidth="1"/>
    <col min="3" max="3" width="7.26953125" bestFit="1" customWidth="1"/>
    <col min="4" max="4" width="11.36328125" bestFit="1" customWidth="1"/>
    <col min="7" max="7" width="7.26953125" bestFit="1" customWidth="1"/>
    <col min="8" max="8" width="23.36328125" bestFit="1" customWidth="1"/>
    <col min="9" max="9" width="7.6328125" bestFit="1" customWidth="1"/>
  </cols>
  <sheetData>
    <row r="1" spans="1:9">
      <c r="B1" t="s">
        <v>482</v>
      </c>
    </row>
    <row r="2" spans="1:9" ht="13.5" thickBot="1"/>
    <row r="3" spans="1:9">
      <c r="A3" s="107">
        <v>1</v>
      </c>
      <c r="B3" s="108">
        <v>45281</v>
      </c>
      <c r="C3" s="109" t="s">
        <v>198</v>
      </c>
      <c r="D3" s="109" t="s">
        <v>209</v>
      </c>
      <c r="E3" s="109"/>
      <c r="F3" s="109"/>
      <c r="G3" s="109" t="s">
        <v>371</v>
      </c>
      <c r="H3" s="109" t="s">
        <v>212</v>
      </c>
      <c r="I3" s="110">
        <v>25000</v>
      </c>
    </row>
    <row r="4" spans="1:9">
      <c r="A4" s="111">
        <v>2</v>
      </c>
      <c r="B4" s="106">
        <v>45287</v>
      </c>
      <c r="C4" s="105" t="s">
        <v>198</v>
      </c>
      <c r="D4" s="105" t="s">
        <v>209</v>
      </c>
      <c r="E4" s="105"/>
      <c r="F4" s="105"/>
      <c r="G4" s="105" t="s">
        <v>371</v>
      </c>
      <c r="H4" s="105" t="s">
        <v>264</v>
      </c>
      <c r="I4" s="112">
        <v>25000</v>
      </c>
    </row>
    <row r="5" spans="1:9">
      <c r="A5" s="111">
        <v>3</v>
      </c>
      <c r="B5" s="106">
        <v>45287</v>
      </c>
      <c r="C5" s="105" t="s">
        <v>198</v>
      </c>
      <c r="D5" s="105" t="s">
        <v>209</v>
      </c>
      <c r="E5" s="105"/>
      <c r="F5" s="105"/>
      <c r="G5" s="105" t="s">
        <v>371</v>
      </c>
      <c r="H5" s="105" t="s">
        <v>211</v>
      </c>
      <c r="I5" s="112">
        <v>25000</v>
      </c>
    </row>
    <row r="6" spans="1:9">
      <c r="A6" s="111">
        <v>4</v>
      </c>
      <c r="B6" s="106">
        <v>45322</v>
      </c>
      <c r="C6" s="105" t="s">
        <v>198</v>
      </c>
      <c r="D6" s="105" t="s">
        <v>209</v>
      </c>
      <c r="E6" s="105"/>
      <c r="F6" s="105"/>
      <c r="G6" s="105" t="s">
        <v>371</v>
      </c>
      <c r="H6" s="105" t="s">
        <v>262</v>
      </c>
      <c r="I6" s="112">
        <v>25000</v>
      </c>
    </row>
    <row r="7" spans="1:9">
      <c r="A7" s="111">
        <v>5</v>
      </c>
      <c r="B7" s="106">
        <v>45322</v>
      </c>
      <c r="C7" s="105" t="s">
        <v>198</v>
      </c>
      <c r="D7" s="105" t="s">
        <v>209</v>
      </c>
      <c r="E7" s="105"/>
      <c r="F7" s="105"/>
      <c r="G7" s="105" t="s">
        <v>371</v>
      </c>
      <c r="H7" s="105" t="s">
        <v>390</v>
      </c>
      <c r="I7" s="112">
        <v>25000</v>
      </c>
    </row>
    <row r="8" spans="1:9">
      <c r="A8" s="111">
        <v>6</v>
      </c>
      <c r="B8" s="106">
        <v>45337</v>
      </c>
      <c r="C8" s="105" t="s">
        <v>198</v>
      </c>
      <c r="D8" s="105" t="s">
        <v>209</v>
      </c>
      <c r="E8" s="105"/>
      <c r="F8" s="105"/>
      <c r="G8" s="105" t="s">
        <v>371</v>
      </c>
      <c r="H8" s="105" t="s">
        <v>466</v>
      </c>
      <c r="I8" s="112">
        <v>25000</v>
      </c>
    </row>
    <row r="9" spans="1:9">
      <c r="A9" s="111">
        <v>7</v>
      </c>
      <c r="B9" s="106">
        <v>45342</v>
      </c>
      <c r="C9" s="105" t="s">
        <v>198</v>
      </c>
      <c r="D9" s="105" t="s">
        <v>209</v>
      </c>
      <c r="E9" s="105"/>
      <c r="F9" s="105"/>
      <c r="G9" s="105" t="s">
        <v>371</v>
      </c>
      <c r="H9" s="105" t="s">
        <v>467</v>
      </c>
      <c r="I9" s="112">
        <v>25000</v>
      </c>
    </row>
    <row r="10" spans="1:9">
      <c r="A10" s="111">
        <v>8</v>
      </c>
      <c r="B10" s="106">
        <v>45342</v>
      </c>
      <c r="C10" s="105" t="s">
        <v>198</v>
      </c>
      <c r="D10" s="105" t="s">
        <v>209</v>
      </c>
      <c r="E10" s="105"/>
      <c r="F10" s="105"/>
      <c r="G10" s="105" t="s">
        <v>371</v>
      </c>
      <c r="H10" s="105" t="s">
        <v>263</v>
      </c>
      <c r="I10" s="112">
        <v>50000</v>
      </c>
    </row>
    <row r="11" spans="1:9">
      <c r="A11" s="111">
        <v>9</v>
      </c>
      <c r="B11" s="106">
        <v>45342</v>
      </c>
      <c r="C11" s="105" t="s">
        <v>198</v>
      </c>
      <c r="D11" s="105" t="s">
        <v>209</v>
      </c>
      <c r="E11" s="105"/>
      <c r="F11" s="105"/>
      <c r="G11" s="105" t="s">
        <v>371</v>
      </c>
      <c r="H11" s="105" t="s">
        <v>468</v>
      </c>
      <c r="I11" s="112">
        <v>25000</v>
      </c>
    </row>
    <row r="12" spans="1:9">
      <c r="A12" s="111">
        <v>10</v>
      </c>
      <c r="B12" s="106">
        <v>45344</v>
      </c>
      <c r="C12" s="105" t="s">
        <v>198</v>
      </c>
      <c r="D12" s="105" t="s">
        <v>209</v>
      </c>
      <c r="E12" s="105"/>
      <c r="F12" s="105"/>
      <c r="G12" s="105" t="s">
        <v>371</v>
      </c>
      <c r="H12" s="105" t="s">
        <v>289</v>
      </c>
      <c r="I12" s="112">
        <v>25000</v>
      </c>
    </row>
    <row r="13" spans="1:9">
      <c r="A13" s="111">
        <v>11</v>
      </c>
      <c r="B13" s="106">
        <v>45344</v>
      </c>
      <c r="C13" s="105" t="s">
        <v>198</v>
      </c>
      <c r="D13" s="105" t="s">
        <v>209</v>
      </c>
      <c r="E13" s="105"/>
      <c r="F13" s="105"/>
      <c r="G13" s="105" t="s">
        <v>371</v>
      </c>
      <c r="H13" s="105" t="s">
        <v>286</v>
      </c>
      <c r="I13" s="112">
        <v>25000</v>
      </c>
    </row>
    <row r="14" spans="1:9">
      <c r="A14" s="111">
        <v>12</v>
      </c>
      <c r="B14" s="106">
        <v>45348</v>
      </c>
      <c r="C14" s="105" t="s">
        <v>198</v>
      </c>
      <c r="D14" s="105" t="s">
        <v>209</v>
      </c>
      <c r="E14" s="105"/>
      <c r="F14" s="105"/>
      <c r="G14" s="105" t="s">
        <v>371</v>
      </c>
      <c r="H14" s="105" t="s">
        <v>480</v>
      </c>
      <c r="I14" s="112">
        <v>25000</v>
      </c>
    </row>
    <row r="15" spans="1:9">
      <c r="A15" s="111">
        <v>13</v>
      </c>
      <c r="B15" s="106">
        <v>45350</v>
      </c>
      <c r="C15" s="105" t="s">
        <v>198</v>
      </c>
      <c r="D15" s="105" t="s">
        <v>209</v>
      </c>
      <c r="E15" s="105"/>
      <c r="F15" s="105"/>
      <c r="G15" s="105" t="s">
        <v>371</v>
      </c>
      <c r="H15" s="105" t="s">
        <v>301</v>
      </c>
      <c r="I15" s="112">
        <v>25000</v>
      </c>
    </row>
    <row r="16" spans="1:9">
      <c r="A16" s="111">
        <v>14</v>
      </c>
      <c r="B16" s="106">
        <v>45351</v>
      </c>
      <c r="C16" s="105" t="s">
        <v>198</v>
      </c>
      <c r="D16" s="105" t="s">
        <v>209</v>
      </c>
      <c r="E16" s="105"/>
      <c r="F16" s="105"/>
      <c r="G16" s="105" t="s">
        <v>371</v>
      </c>
      <c r="H16" s="105" t="s">
        <v>297</v>
      </c>
      <c r="I16" s="112">
        <v>25000</v>
      </c>
    </row>
    <row r="17" spans="1:9" ht="13.5" thickBot="1">
      <c r="A17" s="113">
        <v>15</v>
      </c>
      <c r="B17" s="114">
        <v>45351</v>
      </c>
      <c r="C17" s="115" t="s">
        <v>198</v>
      </c>
      <c r="D17" s="115" t="s">
        <v>209</v>
      </c>
      <c r="E17" s="115"/>
      <c r="F17" s="115"/>
      <c r="G17" s="115" t="s">
        <v>371</v>
      </c>
      <c r="H17" s="115" t="s">
        <v>481</v>
      </c>
      <c r="I17" s="116">
        <v>50000</v>
      </c>
    </row>
    <row r="18" spans="1:9">
      <c r="H18" s="117" t="s">
        <v>116</v>
      </c>
      <c r="I18" s="29">
        <f>SUM(I3:I17)</f>
        <v>425000</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664B-5DF3-44C3-B3DB-96F0DAE86577}">
  <sheetPr codeName="Sheet6"/>
  <dimension ref="A1:G22"/>
  <sheetViews>
    <sheetView workbookViewId="0">
      <selection activeCell="E7" sqref="E7"/>
    </sheetView>
  </sheetViews>
  <sheetFormatPr defaultRowHeight="13"/>
  <cols>
    <col min="1" max="1" width="2.26953125" bestFit="1" customWidth="1"/>
    <col min="2" max="2" width="42.36328125" bestFit="1" customWidth="1"/>
    <col min="3" max="3" width="11.90625" bestFit="1" customWidth="1"/>
    <col min="4" max="4" width="9.26953125" bestFit="1" customWidth="1"/>
    <col min="5" max="5" width="11.26953125" customWidth="1"/>
    <col min="6" max="6" width="11.54296875" bestFit="1" customWidth="1"/>
    <col min="7" max="7" width="30.90625" bestFit="1" customWidth="1"/>
  </cols>
  <sheetData>
    <row r="1" spans="1:7">
      <c r="B1" t="s">
        <v>98</v>
      </c>
    </row>
    <row r="3" spans="1:7" ht="26">
      <c r="A3" s="19"/>
      <c r="B3" s="19" t="s">
        <v>99</v>
      </c>
      <c r="C3" s="19" t="s">
        <v>100</v>
      </c>
      <c r="D3" s="19" t="s">
        <v>101</v>
      </c>
      <c r="E3" s="20" t="s">
        <v>163</v>
      </c>
      <c r="F3" s="20" t="s">
        <v>495</v>
      </c>
      <c r="G3" s="19" t="s">
        <v>113</v>
      </c>
    </row>
    <row r="4" spans="1:7" ht="14.5">
      <c r="A4" s="19">
        <v>1</v>
      </c>
      <c r="B4" s="19" t="s">
        <v>105</v>
      </c>
      <c r="C4" s="19" t="s">
        <v>102</v>
      </c>
      <c r="D4" s="21" t="s">
        <v>103</v>
      </c>
      <c r="E4" s="22">
        <v>5753626</v>
      </c>
      <c r="F4" s="30">
        <v>6895194</v>
      </c>
      <c r="G4" s="19" t="s">
        <v>158</v>
      </c>
    </row>
    <row r="5" spans="1:7">
      <c r="A5" s="19">
        <v>2</v>
      </c>
      <c r="B5" s="19" t="s">
        <v>104</v>
      </c>
      <c r="C5" s="19" t="s">
        <v>102</v>
      </c>
      <c r="D5" s="21" t="s">
        <v>106</v>
      </c>
      <c r="E5" s="22">
        <v>32</v>
      </c>
      <c r="F5" s="22">
        <v>32</v>
      </c>
      <c r="G5" s="19" t="s">
        <v>107</v>
      </c>
    </row>
    <row r="6" spans="1:7">
      <c r="E6">
        <v>103400</v>
      </c>
    </row>
    <row r="7" spans="1:7">
      <c r="B7" t="s">
        <v>116</v>
      </c>
      <c r="D7" s="24"/>
      <c r="E7" s="18">
        <f>SUM(E4:E6)</f>
        <v>5857058</v>
      </c>
      <c r="F7" s="18">
        <f>SUM(F4:F5)</f>
        <v>6895226</v>
      </c>
    </row>
    <row r="8" spans="1:7">
      <c r="D8" s="24"/>
      <c r="E8" s="18"/>
      <c r="F8" s="18"/>
    </row>
    <row r="9" spans="1:7">
      <c r="D9" s="24"/>
      <c r="E9" s="18"/>
      <c r="F9" s="18"/>
    </row>
    <row r="10" spans="1:7">
      <c r="B10" t="s">
        <v>154</v>
      </c>
      <c r="D10" s="24"/>
      <c r="E10" s="18"/>
      <c r="F10" s="18"/>
    </row>
    <row r="11" spans="1:7">
      <c r="A11" s="19">
        <v>4</v>
      </c>
      <c r="B11" s="19" t="s">
        <v>105</v>
      </c>
      <c r="C11" s="19" t="s">
        <v>108</v>
      </c>
      <c r="D11" s="21" t="s">
        <v>109</v>
      </c>
      <c r="E11" s="22">
        <v>0</v>
      </c>
      <c r="F11" s="22">
        <v>6000</v>
      </c>
      <c r="G11" s="19" t="s">
        <v>110</v>
      </c>
    </row>
    <row r="12" spans="1:7">
      <c r="A12" s="19">
        <v>5</v>
      </c>
      <c r="B12" s="19" t="s">
        <v>114</v>
      </c>
      <c r="C12" s="19" t="s">
        <v>102</v>
      </c>
      <c r="D12" s="21" t="s">
        <v>115</v>
      </c>
      <c r="E12" s="22">
        <v>93985</v>
      </c>
      <c r="F12" s="22">
        <v>110985</v>
      </c>
      <c r="G12" s="19" t="s">
        <v>118</v>
      </c>
    </row>
    <row r="13" spans="1:7">
      <c r="A13" s="19">
        <v>3</v>
      </c>
      <c r="B13" s="19" t="s">
        <v>111</v>
      </c>
      <c r="C13" s="19" t="s">
        <v>102</v>
      </c>
      <c r="D13" s="21" t="s">
        <v>112</v>
      </c>
      <c r="E13" s="23">
        <v>378812</v>
      </c>
      <c r="F13" s="22">
        <v>378813</v>
      </c>
      <c r="G13" s="19" t="s">
        <v>157</v>
      </c>
    </row>
    <row r="14" spans="1:7">
      <c r="E14" s="18"/>
      <c r="F14" s="18"/>
    </row>
    <row r="15" spans="1:7">
      <c r="E15" s="18"/>
      <c r="F15" s="18"/>
    </row>
    <row r="16" spans="1:7">
      <c r="E16" s="18"/>
      <c r="F16" s="18"/>
    </row>
    <row r="17" spans="5:6">
      <c r="E17" s="18"/>
      <c r="F17" s="18"/>
    </row>
    <row r="18" spans="5:6">
      <c r="E18" s="18"/>
      <c r="F18" s="18"/>
    </row>
    <row r="19" spans="5:6">
      <c r="E19" s="18"/>
      <c r="F19" s="18"/>
    </row>
    <row r="20" spans="5:6">
      <c r="E20" s="18"/>
      <c r="F20" s="18"/>
    </row>
    <row r="21" spans="5:6">
      <c r="E21" s="18"/>
      <c r="F21" s="18"/>
    </row>
    <row r="22" spans="5:6">
      <c r="E22" s="18"/>
      <c r="F22" s="18"/>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76A5F-7073-420B-8FB1-8D196AAB6D32}">
  <sheetPr codeName="Sheet4"/>
  <dimension ref="A1:C2"/>
  <sheetViews>
    <sheetView workbookViewId="0"/>
  </sheetViews>
  <sheetFormatPr defaultRowHeight="13"/>
  <cols>
    <col min="1" max="1" width="61.81640625" bestFit="1" customWidth="1"/>
    <col min="2" max="2" width="66.26953125" bestFit="1" customWidth="1"/>
  </cols>
  <sheetData>
    <row r="1" spans="1:3">
      <c r="A1" s="16" t="s">
        <v>84</v>
      </c>
      <c r="B1" s="16" t="s">
        <v>85</v>
      </c>
      <c r="C1" s="16" t="s">
        <v>86</v>
      </c>
    </row>
    <row r="2" spans="1:3">
      <c r="A2" t="s">
        <v>87</v>
      </c>
      <c r="B2" t="s">
        <v>162</v>
      </c>
      <c r="C2" t="s">
        <v>88</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AFC81-9293-4C0F-8FB0-4ADA12CC5344}">
  <sheetPr codeName="Sheet8"/>
  <dimension ref="A1:G3"/>
  <sheetViews>
    <sheetView tabSelected="1" workbookViewId="0">
      <selection activeCell="G14" sqref="G14"/>
    </sheetView>
  </sheetViews>
  <sheetFormatPr defaultRowHeight="13"/>
  <cols>
    <col min="1" max="1" width="33.1796875" bestFit="1" customWidth="1"/>
    <col min="2" max="2" width="22.81640625" bestFit="1" customWidth="1"/>
    <col min="3" max="3" width="7.81640625" bestFit="1" customWidth="1"/>
    <col min="4" max="4" width="4.81640625" bestFit="1" customWidth="1"/>
    <col min="5" max="5" width="6.81640625" bestFit="1" customWidth="1"/>
    <col min="6" max="6" width="34" bestFit="1" customWidth="1"/>
    <col min="7" max="7" width="80.7265625" bestFit="1" customWidth="1"/>
  </cols>
  <sheetData>
    <row r="1" spans="1:7">
      <c r="A1" s="189" t="s">
        <v>525</v>
      </c>
      <c r="B1" s="189" t="s">
        <v>526</v>
      </c>
      <c r="C1" s="189" t="s">
        <v>527</v>
      </c>
      <c r="D1" s="189" t="s">
        <v>528</v>
      </c>
      <c r="E1" s="189" t="s">
        <v>529</v>
      </c>
      <c r="F1" s="189" t="s">
        <v>530</v>
      </c>
      <c r="G1" s="189" t="s">
        <v>531</v>
      </c>
    </row>
    <row r="2" spans="1:7">
      <c r="A2" t="s">
        <v>532</v>
      </c>
      <c r="B2" t="s">
        <v>532</v>
      </c>
      <c r="C2" t="s">
        <v>533</v>
      </c>
      <c r="D2" t="s">
        <v>534</v>
      </c>
      <c r="E2">
        <v>24</v>
      </c>
      <c r="F2" t="s">
        <v>535</v>
      </c>
      <c r="G2" s="24" t="s">
        <v>536</v>
      </c>
    </row>
    <row r="3" spans="1:7">
      <c r="A3" t="s">
        <v>537</v>
      </c>
      <c r="B3" t="s">
        <v>537</v>
      </c>
      <c r="C3" t="s">
        <v>533</v>
      </c>
      <c r="D3" t="s">
        <v>534</v>
      </c>
      <c r="E3">
        <v>3</v>
      </c>
      <c r="F3" t="s">
        <v>538</v>
      </c>
      <c r="G3" s="24" t="s">
        <v>450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メイン</vt:lpstr>
      <vt:lpstr>次年度予算書</vt:lpstr>
      <vt:lpstr>決算書</vt:lpstr>
      <vt:lpstr>現金出納記録</vt:lpstr>
      <vt:lpstr>広告料入金状況</vt:lpstr>
      <vt:lpstr>預金口座の残高</vt:lpstr>
      <vt:lpstr>実行環境</vt:lpstr>
      <vt:lpstr>プロシージャ一覧</vt:lpstr>
      <vt:lpstr>決算書!Print_Area</vt:lpstr>
      <vt:lpstr>現金出納記録!Print_Area</vt:lpstr>
      <vt:lpstr>次年度予算書!Print_Area</vt:lpstr>
    </vt:vector>
  </TitlesOfParts>
  <Company>伊藤眼科クリニック</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奥崎 司</dc:creator>
  <cp:lastModifiedBy>しおり 浦山</cp:lastModifiedBy>
  <cp:lastPrinted>2024-04-03T06:27:21Z</cp:lastPrinted>
  <dcterms:created xsi:type="dcterms:W3CDTF">2010-03-20T03:28:30Z</dcterms:created>
  <dcterms:modified xsi:type="dcterms:W3CDTF">2024-08-06T08:45:23Z</dcterms:modified>
</cp:coreProperties>
</file>