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7092F2F0-F27B-4B9A-A2D4-BBDD11CF7727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README" sheetId="2" r:id="rId1"/>
    <sheet name="外部ファイルのパス" sheetId="1" r:id="rId2"/>
    <sheet name="work会員名簿" sheetId="20" r:id="rId3"/>
    <sheet name="ExportedModules" sheetId="23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0" l="1"/>
  <c r="J143" i="20"/>
  <c r="J142" i="20"/>
  <c r="J141" i="20"/>
  <c r="J140" i="20"/>
  <c r="J115" i="20"/>
  <c r="J114" i="20"/>
  <c r="G111" i="20"/>
  <c r="G110" i="20"/>
  <c r="G109" i="20"/>
  <c r="G108" i="20"/>
  <c r="G107" i="20"/>
  <c r="G106" i="20"/>
  <c r="G105" i="20"/>
  <c r="G104" i="20"/>
  <c r="B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73" i="20"/>
  <c r="G72" i="20"/>
  <c r="G71" i="20"/>
  <c r="G70" i="20"/>
  <c r="G69" i="20"/>
  <c r="G68" i="20"/>
  <c r="G67" i="20"/>
  <c r="G66" i="20"/>
  <c r="G65" i="20"/>
  <c r="G64" i="20"/>
  <c r="G63" i="20"/>
  <c r="G62" i="20"/>
  <c r="G61" i="20"/>
  <c r="G60" i="20"/>
  <c r="G59" i="20"/>
  <c r="G58" i="20"/>
  <c r="G57" i="20"/>
  <c r="G56" i="20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B18" i="20"/>
  <c r="B17" i="20"/>
  <c r="G16" i="20"/>
  <c r="G15" i="20"/>
  <c r="G14" i="20"/>
  <c r="G13" i="20"/>
  <c r="G12" i="20"/>
  <c r="B11" i="20"/>
  <c r="G10" i="20"/>
  <c r="G9" i="20"/>
  <c r="G8" i="20"/>
  <c r="G7" i="20"/>
  <c r="G6" i="20"/>
  <c r="G5" i="20"/>
  <c r="G4" i="20"/>
  <c r="M1" i="20"/>
  <c r="H108" i="20" s="1"/>
  <c r="H12" i="20" l="1"/>
  <c r="H32" i="20"/>
  <c r="H4" i="20"/>
  <c r="H20" i="20"/>
  <c r="H8" i="20"/>
  <c r="H28" i="20"/>
  <c r="H16" i="20"/>
  <c r="H36" i="20"/>
  <c r="H24" i="20"/>
  <c r="H37" i="20"/>
  <c r="H69" i="20"/>
  <c r="H45" i="20"/>
  <c r="H53" i="20"/>
  <c r="H57" i="20"/>
  <c r="H65" i="20"/>
  <c r="H73" i="20"/>
  <c r="H77" i="20"/>
  <c r="H81" i="20"/>
  <c r="H89" i="20"/>
  <c r="H93" i="20"/>
  <c r="H97" i="20"/>
  <c r="H101" i="20"/>
  <c r="H105" i="20"/>
  <c r="H109" i="20"/>
  <c r="H5" i="20"/>
  <c r="H9" i="20"/>
  <c r="H13" i="20"/>
  <c r="H17" i="20"/>
  <c r="H21" i="20"/>
  <c r="H25" i="20"/>
  <c r="H29" i="20"/>
  <c r="H33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6" i="20"/>
  <c r="H10" i="20"/>
  <c r="H14" i="20"/>
  <c r="H18" i="20"/>
  <c r="H22" i="20"/>
  <c r="H26" i="20"/>
  <c r="H30" i="20"/>
  <c r="H34" i="20"/>
  <c r="H41" i="20"/>
  <c r="H49" i="20"/>
  <c r="H61" i="20"/>
  <c r="H85" i="20"/>
  <c r="H39" i="20"/>
  <c r="H43" i="20"/>
  <c r="H47" i="20"/>
  <c r="H51" i="20"/>
  <c r="H55" i="20"/>
  <c r="H59" i="20"/>
  <c r="H63" i="20"/>
  <c r="H67" i="20"/>
  <c r="H71" i="20"/>
  <c r="H75" i="20"/>
  <c r="H79" i="20"/>
  <c r="H83" i="20"/>
  <c r="H87" i="20"/>
  <c r="H91" i="20"/>
  <c r="H95" i="20"/>
  <c r="H99" i="20"/>
  <c r="H103" i="20"/>
  <c r="H107" i="20"/>
  <c r="H111" i="20"/>
  <c r="H7" i="20"/>
  <c r="H11" i="20"/>
  <c r="H15" i="20"/>
  <c r="H19" i="20"/>
  <c r="H23" i="20"/>
  <c r="H27" i="20"/>
  <c r="H31" i="20"/>
  <c r="H35" i="20"/>
  <c r="H40" i="20"/>
  <c r="H44" i="20"/>
  <c r="H48" i="20"/>
  <c r="H52" i="20"/>
  <c r="H56" i="20"/>
  <c r="H60" i="20"/>
  <c r="H64" i="20"/>
  <c r="H68" i="20"/>
  <c r="H72" i="20"/>
  <c r="H76" i="20"/>
  <c r="H80" i="20"/>
  <c r="H84" i="20"/>
  <c r="H88" i="20"/>
  <c r="H92" i="20"/>
  <c r="H96" i="20"/>
  <c r="H100" i="20"/>
  <c r="H104" i="20"/>
  <c r="J131" i="20" l="1"/>
  <c r="J133" i="20"/>
  <c r="J118" i="20"/>
  <c r="J137" i="20"/>
  <c r="J129" i="20"/>
  <c r="J120" i="20"/>
  <c r="J124" i="20"/>
  <c r="J134" i="20"/>
  <c r="J125" i="20"/>
  <c r="J117" i="20"/>
  <c r="J132" i="20"/>
  <c r="J123" i="20"/>
  <c r="J130" i="20"/>
  <c r="J121" i="20"/>
  <c r="J136" i="20"/>
  <c r="J128" i="20"/>
  <c r="J119" i="20"/>
  <c r="J122" i="20"/>
  <c r="J126" i="20"/>
  <c r="J135" i="20"/>
</calcChain>
</file>

<file path=xl/sharedStrings.xml><?xml version="1.0" encoding="utf-8"?>
<sst xmlns="http://schemas.openxmlformats.org/spreadsheetml/2006/main" count="1505" uniqueCount="1088">
  <si>
    <t>会員名簿Excelファイルのパス</t>
    <rPh sb="0" eb="4">
      <t>カイインメイボ</t>
    </rPh>
    <phoneticPr fontId="6"/>
  </si>
  <si>
    <t>C:\Users\aogan\OneDrive\デスクトップ\青森県眼科医会\会員名簿\青森県眼科医会名簿_令和6年度.xlsm</t>
  </si>
  <si>
    <t>テンプレートとしてのWordファイルのパス</t>
    <phoneticPr fontId="6"/>
  </si>
  <si>
    <t>C:\Users\aogan\OneDrive\デスクトップ\青森県眼科医会\県年会費\納入案内\会費納入案内 令和6年度.docx</t>
    <phoneticPr fontId="6"/>
  </si>
  <si>
    <t>出力先フォルダのパス</t>
    <rPh sb="0" eb="3">
      <t>シュツリョクサキ</t>
    </rPh>
    <phoneticPr fontId="6"/>
  </si>
  <si>
    <t>..\..\build\会費納入のお願い</t>
    <rPh sb="12" eb="14">
      <t>カイヒ</t>
    </rPh>
    <rPh sb="14" eb="16">
      <t>ノウニュウ</t>
    </rPh>
    <rPh sb="18" eb="19">
      <t>ネガ</t>
    </rPh>
    <phoneticPr fontId="6"/>
  </si>
  <si>
    <t>本ワークブックが存在するフォルダを基底とした相対パス</t>
    <rPh sb="0" eb="1">
      <t>ホン</t>
    </rPh>
    <rPh sb="8" eb="10">
      <t>ソンザイ</t>
    </rPh>
    <rPh sb="17" eb="19">
      <t>キテイ</t>
    </rPh>
    <rPh sb="22" eb="24">
      <t>ソウタイ</t>
    </rPh>
    <phoneticPr fontId="6"/>
  </si>
  <si>
    <t>毎年春6月頃に青森県眼科医会事務局から会員一人一人に対して「会費納入のお願い」を郵送する。</t>
    <rPh sb="0" eb="2">
      <t>マイトシ</t>
    </rPh>
    <rPh sb="2" eb="3">
      <t>ハル</t>
    </rPh>
    <rPh sb="4" eb="5">
      <t>ガツ</t>
    </rPh>
    <rPh sb="5" eb="6">
      <t>ゴロ</t>
    </rPh>
    <rPh sb="7" eb="10">
      <t>アオモリケン</t>
    </rPh>
    <rPh sb="10" eb="14">
      <t>ガンカイカイ</t>
    </rPh>
    <rPh sb="14" eb="17">
      <t>ジムキョク</t>
    </rPh>
    <rPh sb="19" eb="21">
      <t>カイイン</t>
    </rPh>
    <rPh sb="21" eb="25">
      <t>ヒトリヒトリ</t>
    </rPh>
    <rPh sb="26" eb="27">
      <t>タイ</t>
    </rPh>
    <rPh sb="30" eb="34">
      <t>カイヒノウニュウ</t>
    </rPh>
    <rPh sb="36" eb="37">
      <t>ネガ</t>
    </rPh>
    <rPh sb="40" eb="42">
      <t>ユウソウ</t>
    </rPh>
    <phoneticPr fontId="6"/>
  </si>
  <si>
    <t>このExcelファイルにはVBAコードが仕込んであります。</t>
    <rPh sb="20" eb="22">
      <t>シコ</t>
    </rPh>
    <phoneticPr fontId="6"/>
  </si>
  <si>
    <t>その文書を作成するためのVBAコード。</t>
    <rPh sb="2" eb="4">
      <t>ブンショ</t>
    </rPh>
    <rPh sb="5" eb="7">
      <t>サクセイ</t>
    </rPh>
    <phoneticPr fontId="6"/>
  </si>
  <si>
    <t>青森県眼科医会の会員名簿のＥｘｃｅｌファイルを主たる入力データとする。</t>
    <rPh sb="0" eb="7">
      <t>アオモリケンガンカイカイ</t>
    </rPh>
    <rPh sb="8" eb="10">
      <t>カイイン</t>
    </rPh>
    <rPh sb="10" eb="12">
      <t>メイボ</t>
    </rPh>
    <rPh sb="23" eb="24">
      <t>シュ</t>
    </rPh>
    <rPh sb="26" eb="28">
      <t>ニュウリョク</t>
    </rPh>
    <phoneticPr fontId="6"/>
  </si>
  <si>
    <t>文書のひな型としてＷｏｒｄファイルを読み込む</t>
    <rPh sb="0" eb="2">
      <t>ブンショ</t>
    </rPh>
    <rPh sb="5" eb="6">
      <t>ガタ</t>
    </rPh>
    <rPh sb="18" eb="19">
      <t>ヨ</t>
    </rPh>
    <rPh sb="20" eb="21">
      <t>コ</t>
    </rPh>
    <phoneticPr fontId="6"/>
  </si>
  <si>
    <t>会員1名にたいしてＷｏｒｄファイル1つを生成する。１つのフォルダに全会員ぶんのＷｏｒｄファイル100個弱を出力する。</t>
    <rPh sb="0" eb="2">
      <t>カイイン</t>
    </rPh>
    <rPh sb="3" eb="4">
      <t>メイ</t>
    </rPh>
    <rPh sb="20" eb="22">
      <t>セイセイ</t>
    </rPh>
    <rPh sb="33" eb="36">
      <t>ゼンカイイン</t>
    </rPh>
    <rPh sb="50" eb="51">
      <t>コ</t>
    </rPh>
    <rPh sb="51" eb="52">
      <t>ジャク</t>
    </rPh>
    <rPh sb="53" eb="55">
      <t>シュツリョク</t>
    </rPh>
    <phoneticPr fontId="6"/>
  </si>
  <si>
    <t>入出力するファイルのパス情報は「外部ファイルのパス」シートに書いておく。VBAコードはここに書かれたパスを参照する。</t>
    <rPh sb="0" eb="3">
      <t>ニュウシュツリョク</t>
    </rPh>
    <rPh sb="12" eb="14">
      <t>ジョウホウ</t>
    </rPh>
    <rPh sb="16" eb="18">
      <t>ガイブ</t>
    </rPh>
    <rPh sb="30" eb="31">
      <t>カ</t>
    </rPh>
    <rPh sb="46" eb="47">
      <t>カ</t>
    </rPh>
    <rPh sb="53" eb="55">
      <t>サンショウ</t>
    </rPh>
    <phoneticPr fontId="6"/>
  </si>
  <si>
    <t>青森県眼科医会名簿</t>
    <rPh sb="0" eb="9">
      <t>アオモリケンガンカイカイメイボ</t>
    </rPh>
    <phoneticPr fontId="9"/>
  </si>
  <si>
    <t>時点</t>
    <rPh sb="0" eb="2">
      <t>ジテン</t>
    </rPh>
    <phoneticPr fontId="9"/>
  </si>
  <si>
    <t>列1</t>
  </si>
  <si>
    <t>列2</t>
  </si>
  <si>
    <t>氏名</t>
    <phoneticPr fontId="9"/>
  </si>
  <si>
    <t>氏名カナ</t>
    <phoneticPr fontId="9"/>
  </si>
  <si>
    <t>性別</t>
    <phoneticPr fontId="9"/>
  </si>
  <si>
    <t>生年月日</t>
    <phoneticPr fontId="9"/>
  </si>
  <si>
    <t>生年月日3</t>
  </si>
  <si>
    <t>年齢</t>
    <rPh sb="0" eb="2">
      <t>ネンレイ</t>
    </rPh>
    <phoneticPr fontId="9"/>
  </si>
  <si>
    <t>医籍
登録番号</t>
    <rPh sb="1" eb="2">
      <t>セキ</t>
    </rPh>
    <rPh sb="3" eb="5">
      <t>トウロク</t>
    </rPh>
    <rPh sb="5" eb="7">
      <t>バンゴウ</t>
    </rPh>
    <phoneticPr fontId="9"/>
  </si>
  <si>
    <t>医籍
登録日</t>
    <rPh sb="1" eb="2">
      <t>セキ</t>
    </rPh>
    <phoneticPr fontId="9"/>
  </si>
  <si>
    <t>日眼医
登録日</t>
    <rPh sb="0" eb="3">
      <t>ニチガンイ</t>
    </rPh>
    <rPh sb="4" eb="6">
      <t>トウロク</t>
    </rPh>
    <rPh sb="6" eb="7">
      <t>ヒ</t>
    </rPh>
    <phoneticPr fontId="9"/>
  </si>
  <si>
    <t>専門医
登録No</t>
    <rPh sb="0" eb="3">
      <t>センモンイ</t>
    </rPh>
    <rPh sb="4" eb="6">
      <t>トウロク</t>
    </rPh>
    <phoneticPr fontId="9"/>
  </si>
  <si>
    <t>勤務先名</t>
    <phoneticPr fontId="9"/>
  </si>
  <si>
    <t>勤務先〒</t>
    <rPh sb="2" eb="3">
      <t>サキ</t>
    </rPh>
    <phoneticPr fontId="9"/>
  </si>
  <si>
    <t>勤務先住所</t>
    <phoneticPr fontId="9"/>
  </si>
  <si>
    <t>勤務先
電話番号</t>
    <rPh sb="0" eb="3">
      <t>キンムサキ</t>
    </rPh>
    <rPh sb="4" eb="8">
      <t>デンワバンゴウ</t>
    </rPh>
    <phoneticPr fontId="9"/>
  </si>
  <si>
    <t>自宅〒</t>
    <phoneticPr fontId="9"/>
  </si>
  <si>
    <t>自宅住所</t>
    <phoneticPr fontId="9"/>
  </si>
  <si>
    <t>自宅
電話番号</t>
    <rPh sb="3" eb="7">
      <t>デンワバンゴウ</t>
    </rPh>
    <phoneticPr fontId="9"/>
  </si>
  <si>
    <t>携帯番号</t>
    <rPh sb="0" eb="2">
      <t>ケイタイ</t>
    </rPh>
    <rPh sb="2" eb="4">
      <t>バンゴウ</t>
    </rPh>
    <phoneticPr fontId="9"/>
  </si>
  <si>
    <t>email</t>
    <phoneticPr fontId="9"/>
  </si>
  <si>
    <t>役</t>
    <rPh sb="0" eb="1">
      <t>ヤク</t>
    </rPh>
    <phoneticPr fontId="9"/>
  </si>
  <si>
    <t>資格</t>
    <rPh sb="0" eb="2">
      <t>シカク</t>
    </rPh>
    <phoneticPr fontId="9"/>
  </si>
  <si>
    <t>異動</t>
    <rPh sb="0" eb="2">
      <t>イドウ</t>
    </rPh>
    <phoneticPr fontId="9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</si>
  <si>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9"/>
  </si>
  <si>
    <t>HPのID</t>
    <phoneticPr fontId="9"/>
  </si>
  <si>
    <t>HPのパスワード</t>
    <phoneticPr fontId="9"/>
  </si>
  <si>
    <t>あ</t>
    <phoneticPr fontId="9"/>
  </si>
  <si>
    <t xml:space="preserve">東　寛子      </t>
    <phoneticPr fontId="9"/>
  </si>
  <si>
    <t xml:space="preserve">ｱｽﾞﾏ ﾋﾛｺ </t>
    <phoneticPr fontId="9"/>
  </si>
  <si>
    <t>W</t>
  </si>
  <si>
    <t>八戸平和病院眼科</t>
    <phoneticPr fontId="9"/>
  </si>
  <si>
    <t>031-0823</t>
    <phoneticPr fontId="9"/>
  </si>
  <si>
    <t>八戸市湊高台２－４－６</t>
    <phoneticPr fontId="9"/>
  </si>
  <si>
    <t>0178-31-2222</t>
  </si>
  <si>
    <t>031-0053</t>
    <phoneticPr fontId="9"/>
  </si>
  <si>
    <t>八戸市徒士町４－１</t>
    <phoneticPr fontId="9"/>
  </si>
  <si>
    <t>0178-22-1030</t>
    <phoneticPr fontId="9"/>
  </si>
  <si>
    <t>理事</t>
    <rPh sb="0" eb="2">
      <t>リジ</t>
    </rPh>
    <phoneticPr fontId="9"/>
  </si>
  <si>
    <t>B</t>
    <phoneticPr fontId="9"/>
  </si>
  <si>
    <t>hirokoa</t>
    <phoneticPr fontId="9"/>
  </si>
  <si>
    <t xml:space="preserve">荒井優子    </t>
    <phoneticPr fontId="9"/>
  </si>
  <si>
    <t>ｱﾗｲ ﾕｳｺ</t>
  </si>
  <si>
    <t>W</t>
    <phoneticPr fontId="9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</si>
  <si>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</si>
  <si>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</si>
  <si>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</si>
  <si>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</si>
  <si>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9"/>
  </si>
  <si>
    <t>弘前市城東中央４－２－８</t>
    <phoneticPr fontId="9"/>
  </si>
  <si>
    <t>0172-27-0055</t>
    <phoneticPr fontId="9"/>
  </si>
  <si>
    <t>A</t>
    <phoneticPr fontId="9"/>
  </si>
  <si>
    <t>yuukoa</t>
    <phoneticPr fontId="9"/>
  </si>
  <si>
    <t>jyoutou428</t>
    <phoneticPr fontId="9"/>
  </si>
  <si>
    <t xml:space="preserve">一戸 敏  </t>
    <phoneticPr fontId="9"/>
  </si>
  <si>
    <t>ｲﾁﾉﾍ ｻﾄｼ</t>
  </si>
  <si>
    <t>M</t>
    <phoneticPr fontId="9"/>
  </si>
  <si>
    <t>医）一美会　一戸眼科医院</t>
    <phoneticPr fontId="9"/>
  </si>
  <si>
    <t>036-8186</t>
  </si>
  <si>
    <t>弘前市富田２－９－６</t>
    <phoneticPr fontId="9"/>
  </si>
  <si>
    <t>0172-32-3076</t>
  </si>
  <si>
    <t>弘前市富田２－９－７</t>
    <phoneticPr fontId="9"/>
  </si>
  <si>
    <t>0172-34-3120</t>
    <phoneticPr fontId="9"/>
  </si>
  <si>
    <t>satoshi</t>
    <phoneticPr fontId="9"/>
  </si>
  <si>
    <t>ratshr</t>
    <phoneticPr fontId="9"/>
  </si>
  <si>
    <t>井手哲義</t>
    <rPh sb="0" eb="2">
      <t>イデ</t>
    </rPh>
    <rPh sb="2" eb="4">
      <t>テツヨシ</t>
    </rPh>
    <phoneticPr fontId="9"/>
  </si>
  <si>
    <t>ｲﾃﾞ ﾃﾂﾖｼ</t>
    <phoneticPr fontId="9"/>
  </si>
  <si>
    <t>きくち眼科</t>
  </si>
  <si>
    <t>031-0032</t>
  </si>
  <si>
    <t>八戸市大字三日町３０－１ アクシスビル２Ｆ</t>
    <phoneticPr fontId="9"/>
  </si>
  <si>
    <t>0178-73-6366</t>
  </si>
  <si>
    <t>031-0011</t>
    <phoneticPr fontId="9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</si>
  <si>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9"/>
  </si>
  <si>
    <t>090-3962-4954</t>
    <phoneticPr fontId="9"/>
  </si>
  <si>
    <t>tetuyoshi</t>
    <phoneticPr fontId="9"/>
  </si>
  <si>
    <t xml:space="preserve">伊藤信一         </t>
    <phoneticPr fontId="9"/>
  </si>
  <si>
    <t>ｲﾄｳ ｼﾝｲﾁ</t>
  </si>
  <si>
    <t>M</t>
  </si>
  <si>
    <t>医療法人マルモ　伊藤眼科クリニック</t>
    <rPh sb="0" eb="4">
      <t>イリョウホウジン</t>
    </rPh>
    <phoneticPr fontId="9"/>
  </si>
  <si>
    <t>030-0912</t>
    <phoneticPr fontId="9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</si>
  <si>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9"/>
  </si>
  <si>
    <t>0177-18-5258</t>
    <phoneticPr fontId="9"/>
  </si>
  <si>
    <t>030-0911</t>
    <phoneticPr fontId="9"/>
  </si>
  <si>
    <t>青森市東造道1丁目16番7号</t>
    <rPh sb="7" eb="9">
      <t>チョウメ</t>
    </rPh>
    <rPh sb="11" eb="12">
      <t>バン</t>
    </rPh>
    <rPh sb="13" eb="14">
      <t>ゴウ</t>
    </rPh>
    <phoneticPr fontId="9"/>
  </si>
  <si>
    <t>0177-18-3290</t>
    <phoneticPr fontId="9"/>
  </si>
  <si>
    <t>免除</t>
    <rPh sb="0" eb="2">
      <t>メンジョ</t>
    </rPh>
    <phoneticPr fontId="9"/>
  </si>
  <si>
    <t>R6年3月AからBへ</t>
    <rPh sb="2" eb="3">
      <t>ネン</t>
    </rPh>
    <rPh sb="4" eb="5">
      <t>ガツ</t>
    </rPh>
    <phoneticPr fontId="9"/>
  </si>
  <si>
    <t>shinichi</t>
    <phoneticPr fontId="9"/>
  </si>
  <si>
    <t>2qz6rpyd</t>
    <phoneticPr fontId="9"/>
  </si>
  <si>
    <t xml:space="preserve">伊藤 忠         </t>
    <phoneticPr fontId="9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</si>
  <si>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</si>
  <si>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9"/>
  </si>
  <si>
    <t>036-8006</t>
    <phoneticPr fontId="9"/>
  </si>
  <si>
    <t>弘前市大字南大町２丁目６－３</t>
    <phoneticPr fontId="9"/>
  </si>
  <si>
    <t>0172-36-6105</t>
  </si>
  <si>
    <t>弘前市南大町２－６－３</t>
  </si>
  <si>
    <t>0172-33-2248</t>
    <phoneticPr fontId="9"/>
  </si>
  <si>
    <t>tadashii</t>
    <phoneticPr fontId="9"/>
  </si>
  <si>
    <t xml:space="preserve">伊藤千春       </t>
    <phoneticPr fontId="9"/>
  </si>
  <si>
    <t>ｲﾄｳ ﾁﾊﾙ</t>
  </si>
  <si>
    <t>黒石市国保黒石病院眼科</t>
  </si>
  <si>
    <t>036-0541</t>
    <phoneticPr fontId="14"/>
  </si>
  <si>
    <t>黒石市北美町1-70</t>
  </si>
  <si>
    <t>0172-52-2121</t>
  </si>
  <si>
    <t>036-8261</t>
  </si>
  <si>
    <t>弘前市茂森新町２－１－９</t>
    <phoneticPr fontId="9"/>
  </si>
  <si>
    <t>0172-34-2067</t>
    <phoneticPr fontId="9"/>
  </si>
  <si>
    <t>chiharu</t>
    <phoneticPr fontId="9"/>
  </si>
  <si>
    <t>井村　詠太郎</t>
    <rPh sb="0" eb="2">
      <t>イムラ</t>
    </rPh>
    <rPh sb="3" eb="4">
      <t>エイ</t>
    </rPh>
    <rPh sb="4" eb="6">
      <t>タロウ</t>
    </rPh>
    <phoneticPr fontId="9"/>
  </si>
  <si>
    <t>ｲﾑﾗ ｴｲﾀﾛｳ</t>
    <phoneticPr fontId="9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</si>
  <si>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9"/>
  </si>
  <si>
    <t>036-8563</t>
    <phoneticPr fontId="9"/>
  </si>
  <si>
    <t>青森県弘前市本町５３</t>
    <rPh sb="0" eb="3">
      <t>アオモリケン</t>
    </rPh>
    <rPh sb="3" eb="6">
      <t>ヒロサキシ</t>
    </rPh>
    <rPh sb="6" eb="8">
      <t>ホンマチ</t>
    </rPh>
    <phoneticPr fontId="9"/>
  </si>
  <si>
    <t>0172-33-5111</t>
    <phoneticPr fontId="9"/>
  </si>
  <si>
    <t>036-8227</t>
    <phoneticPr fontId="9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</si>
  <si>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9"/>
  </si>
  <si>
    <t>090-7647-7900</t>
    <phoneticPr fontId="9"/>
  </si>
  <si>
    <t>imura-16@hirosaki-u.ac.jp</t>
    <phoneticPr fontId="9"/>
  </si>
  <si>
    <t>C弘大</t>
    <rPh sb="1" eb="3">
      <t>ヒロダイ</t>
    </rPh>
    <phoneticPr fontId="9"/>
  </si>
  <si>
    <t>eitaroui</t>
    <phoneticPr fontId="9"/>
  </si>
  <si>
    <t>Nn9s4B</t>
  </si>
  <si>
    <t xml:space="preserve">岩船裕一        </t>
    <phoneticPr fontId="9"/>
  </si>
  <si>
    <t>ｲﾜﾌﾈ ﾕｳｲﾁ</t>
    <phoneticPr fontId="9"/>
  </si>
  <si>
    <t>岩船アイクリニック</t>
    <phoneticPr fontId="9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</si>
  <si>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</si>
  <si>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</si>
  <si>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</si>
  <si>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</si>
  <si>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</si>
  <si>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9"/>
  </si>
  <si>
    <t>yuichi</t>
    <phoneticPr fontId="9"/>
  </si>
  <si>
    <t>toriage1816</t>
    <phoneticPr fontId="9"/>
  </si>
  <si>
    <t>上野真治</t>
    <rPh sb="0" eb="2">
      <t>ウエノ</t>
    </rPh>
    <rPh sb="2" eb="4">
      <t>シンジ</t>
    </rPh>
    <phoneticPr fontId="9"/>
  </si>
  <si>
    <t>ｳｴﾉ ｼﾝｼﾞ</t>
    <phoneticPr fontId="9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</si>
  <si>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9"/>
  </si>
  <si>
    <t>036-8562</t>
    <phoneticPr fontId="9"/>
  </si>
  <si>
    <t>弘前市在府町５</t>
    <rPh sb="0" eb="3">
      <t>ヒロサキシ</t>
    </rPh>
    <rPh sb="3" eb="6">
      <t>ザイフチョウ</t>
    </rPh>
    <phoneticPr fontId="9"/>
  </si>
  <si>
    <t>0172-39-5095</t>
    <phoneticPr fontId="9"/>
  </si>
  <si>
    <t>036-8216</t>
    <phoneticPr fontId="9"/>
  </si>
  <si>
    <t>弘前市在府町３０－１、３０５</t>
    <rPh sb="0" eb="3">
      <t>ヒロサキシ</t>
    </rPh>
    <rPh sb="3" eb="6">
      <t>ザイフチョウ</t>
    </rPh>
    <phoneticPr fontId="9"/>
  </si>
  <si>
    <t>090-7305-4258</t>
    <phoneticPr fontId="9"/>
  </si>
  <si>
    <t>B弘大</t>
    <rPh sb="1" eb="3">
      <t>ヒロダイ</t>
    </rPh>
    <phoneticPr fontId="9"/>
  </si>
  <si>
    <t>shinji</t>
    <phoneticPr fontId="9"/>
  </si>
  <si>
    <t>A3fxS28k</t>
    <phoneticPr fontId="9"/>
  </si>
  <si>
    <t xml:space="preserve">瓜田千紗子        </t>
    <phoneticPr fontId="9"/>
  </si>
  <si>
    <t>ｳﾘﾀ ﾁｻｺ</t>
  </si>
  <si>
    <t>瓜田医院</t>
    <phoneticPr fontId="9"/>
  </si>
  <si>
    <t>038-3503</t>
    <phoneticPr fontId="9"/>
  </si>
  <si>
    <t>北津軽郡鶴田町相原５５－１</t>
    <phoneticPr fontId="9"/>
  </si>
  <si>
    <t>0173-22-3232</t>
  </si>
  <si>
    <t>038-3503</t>
  </si>
  <si>
    <t xml:space="preserve">北津軽郡鶴田町生松１２９－２ </t>
  </si>
  <si>
    <t>0173-22-3036</t>
    <phoneticPr fontId="9"/>
  </si>
  <si>
    <t>chisako</t>
    <phoneticPr fontId="9"/>
  </si>
  <si>
    <t xml:space="preserve">大島真理       </t>
    <phoneticPr fontId="9"/>
  </si>
  <si>
    <t>ｵｵｼﾏ ﾏﾘ</t>
  </si>
  <si>
    <t>大島眼科</t>
    <phoneticPr fontId="9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</si>
  <si>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</si>
  <si>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</si>
  <si>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</si>
  <si>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</si>
  <si>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</si>
  <si>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</si>
  <si>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9"/>
  </si>
  <si>
    <t>mizusawa0210</t>
    <phoneticPr fontId="9"/>
  </si>
  <si>
    <t xml:space="preserve">太田卓也        </t>
    <phoneticPr fontId="9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</si>
  <si>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</si>
  <si>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</si>
  <si>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</si>
  <si>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</si>
  <si>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</si>
  <si>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9"/>
  </si>
  <si>
    <t>弘前市寒沢町５－７９</t>
    <phoneticPr fontId="9"/>
  </si>
  <si>
    <t>0172-31-2837</t>
  </si>
  <si>
    <t>理事・副会長</t>
    <rPh sb="0" eb="2">
      <t>リジ</t>
    </rPh>
    <rPh sb="3" eb="6">
      <t>フクカイチョウ</t>
    </rPh>
    <phoneticPr fontId="9"/>
  </si>
  <si>
    <t>takuya</t>
    <phoneticPr fontId="9"/>
  </si>
  <si>
    <t>9byq6ru8</t>
    <phoneticPr fontId="9"/>
  </si>
  <si>
    <t>尾崎 裕之</t>
    <rPh sb="0" eb="2">
      <t>オザキ</t>
    </rPh>
    <rPh sb="3" eb="5">
      <t>ヒロユキ</t>
    </rPh>
    <phoneticPr fontId="9"/>
  </si>
  <si>
    <t>ｵｻﾞｷ ﾋﾛﾕｷ</t>
    <phoneticPr fontId="9"/>
  </si>
  <si>
    <t>青森県弘前市本町５３</t>
    <rPh sb="0" eb="6">
      <t>アオモリケンヒロサキシ</t>
    </rPh>
    <rPh sb="6" eb="8">
      <t>ホンチョウ</t>
    </rPh>
    <phoneticPr fontId="9"/>
  </si>
  <si>
    <t>036ｰ8228</t>
    <phoneticPr fontId="9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</si>
  <si>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9"/>
  </si>
  <si>
    <t>090-3750-1023</t>
    <phoneticPr fontId="9"/>
  </si>
  <si>
    <t>ozaki-hiroyuki@hirosaki-u.ac.jp</t>
    <phoneticPr fontId="9"/>
  </si>
  <si>
    <t>hiroyukio</t>
    <phoneticPr fontId="9"/>
  </si>
  <si>
    <t>uP7A4Q</t>
  </si>
  <si>
    <t>小田桐 由佳</t>
    <rPh sb="0" eb="3">
      <t>オダギリ</t>
    </rPh>
    <rPh sb="4" eb="6">
      <t>ユカ</t>
    </rPh>
    <phoneticPr fontId="9"/>
  </si>
  <si>
    <t>ｵﾀﾞｷﾞﾘ ﾕｶ</t>
    <phoneticPr fontId="9"/>
  </si>
  <si>
    <t>036-8195</t>
    <phoneticPr fontId="9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</si>
  <si>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9"/>
  </si>
  <si>
    <t>080-8214-7724</t>
    <phoneticPr fontId="9"/>
  </si>
  <si>
    <t>y.o.bdm0126@gmail.com</t>
    <phoneticPr fontId="9"/>
  </si>
  <si>
    <t>yukao</t>
    <phoneticPr fontId="9"/>
  </si>
  <si>
    <t>eE5W6N</t>
  </si>
  <si>
    <t>か</t>
    <phoneticPr fontId="9"/>
  </si>
  <si>
    <t xml:space="preserve">陰山俊之      </t>
    <phoneticPr fontId="9"/>
  </si>
  <si>
    <t>ｶｹﾞﾔﾏ ﾄｼﾕｷ</t>
    <phoneticPr fontId="9"/>
  </si>
  <si>
    <t>ナンブクリニック</t>
    <phoneticPr fontId="9"/>
  </si>
  <si>
    <t>039-0105</t>
  </si>
  <si>
    <t xml:space="preserve">三戸郡南部町沖田面千刈４７－１ </t>
    <phoneticPr fontId="9"/>
  </si>
  <si>
    <t>0179-20-6161</t>
  </si>
  <si>
    <t xml:space="preserve"> 039-0105</t>
  </si>
  <si>
    <t>三戸郡南部町沖田面字沖中２０－２</t>
    <rPh sb="9" eb="10">
      <t>アザ</t>
    </rPh>
    <phoneticPr fontId="9"/>
  </si>
  <si>
    <t xml:space="preserve"> 0179-20-6007</t>
  </si>
  <si>
    <t>toshiyuki</t>
    <phoneticPr fontId="9"/>
  </si>
  <si>
    <t>5ngxfzbk</t>
    <phoneticPr fontId="9"/>
  </si>
  <si>
    <t xml:space="preserve">陰山美樹        </t>
    <phoneticPr fontId="9"/>
  </si>
  <si>
    <t>ｶｹﾞﾔﾏ ﾐｷ</t>
  </si>
  <si>
    <t>ナンブクリニック</t>
  </si>
  <si>
    <t>三戸郡南部町沖田面字沖中２０－２</t>
  </si>
  <si>
    <t>0179-20-6007</t>
  </si>
  <si>
    <t>miki</t>
    <phoneticPr fontId="9"/>
  </si>
  <si>
    <t xml:space="preserve">片岡英樹      </t>
    <phoneticPr fontId="9"/>
  </si>
  <si>
    <t>ｶﾀｵｶ ﾋﾃﾞｷ</t>
    <phoneticPr fontId="9"/>
  </si>
  <si>
    <t>青森県立中央病院眼科</t>
    <phoneticPr fontId="9"/>
  </si>
  <si>
    <t>030-8553</t>
  </si>
  <si>
    <t xml:space="preserve">青森市東造道２－１－１ </t>
  </si>
  <si>
    <t>017-726-8111</t>
    <phoneticPr fontId="9"/>
  </si>
  <si>
    <t>030-0961</t>
    <phoneticPr fontId="9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</si>
  <si>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9"/>
  </si>
  <si>
    <t>017-744-0129</t>
    <phoneticPr fontId="9"/>
  </si>
  <si>
    <t>hideki</t>
    <phoneticPr fontId="9"/>
  </si>
  <si>
    <t>welcome</t>
    <phoneticPr fontId="9"/>
  </si>
  <si>
    <t xml:space="preserve">片岡史子     </t>
    <phoneticPr fontId="9"/>
  </si>
  <si>
    <t>ｶﾀｵｶ ﾌﾐｺ</t>
  </si>
  <si>
    <t>13374</t>
    <phoneticPr fontId="9"/>
  </si>
  <si>
    <t>fumiko</t>
    <phoneticPr fontId="9"/>
  </si>
  <si>
    <t>willkommen</t>
    <phoneticPr fontId="9"/>
  </si>
  <si>
    <t xml:space="preserve">片山君予         </t>
    <phoneticPr fontId="9"/>
  </si>
  <si>
    <t>ｶﾀﾔﾏ ｷﾐﾖ</t>
  </si>
  <si>
    <t>つがる総合病院眼科</t>
    <rPh sb="3" eb="5">
      <t>ソウゴウ</t>
    </rPh>
    <rPh sb="5" eb="7">
      <t>ビョウイン</t>
    </rPh>
    <phoneticPr fontId="9"/>
  </si>
  <si>
    <t>037-0074</t>
    <phoneticPr fontId="9"/>
  </si>
  <si>
    <t>五所川原市岩木町12-3</t>
    <rPh sb="5" eb="8">
      <t>イワキマチ</t>
    </rPh>
    <phoneticPr fontId="9"/>
  </si>
  <si>
    <t>0173-35-3111</t>
    <phoneticPr fontId="9"/>
  </si>
  <si>
    <t>036-8354</t>
  </si>
  <si>
    <t>弘前市上鞘師町１１－１　ＭＡＣ弘前コート８０２</t>
  </si>
  <si>
    <t>090-7257-0613</t>
  </si>
  <si>
    <t>kimiyo</t>
    <phoneticPr fontId="9"/>
  </si>
  <si>
    <t>hirodai</t>
    <phoneticPr fontId="9"/>
  </si>
  <si>
    <t xml:space="preserve">加藤智博         </t>
    <phoneticPr fontId="9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</si>
  <si>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</si>
  <si>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</si>
  <si>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</si>
  <si>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</si>
  <si>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</si>
  <si>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</si>
  <si>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</si>
  <si>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</si>
  <si>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9"/>
  </si>
  <si>
    <t>kunitachi0408</t>
    <phoneticPr fontId="9"/>
  </si>
  <si>
    <t xml:space="preserve">神山　巽        </t>
    <phoneticPr fontId="9"/>
  </si>
  <si>
    <t>ｶﾐﾔﾏ ﾀﾂﾐ</t>
  </si>
  <si>
    <t>039-1111</t>
    <phoneticPr fontId="9"/>
  </si>
  <si>
    <t>八戸市東白山台４－２－６</t>
    <phoneticPr fontId="9"/>
  </si>
  <si>
    <t>0178-70-1510</t>
  </si>
  <si>
    <t>tatsumi</t>
    <phoneticPr fontId="9"/>
  </si>
  <si>
    <t xml:space="preserve">菊地泰弘    　    </t>
    <phoneticPr fontId="9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</si>
  <si>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</si>
  <si>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</si>
  <si>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</si>
  <si>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</si>
  <si>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9"/>
  </si>
  <si>
    <t>j2gzxb</t>
    <phoneticPr fontId="9"/>
  </si>
  <si>
    <t xml:space="preserve">木戸愛子       </t>
    <phoneticPr fontId="9"/>
  </si>
  <si>
    <t>ｷﾄﾞ ｱｲｺ</t>
  </si>
  <si>
    <t>030-0841</t>
    <phoneticPr fontId="9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</si>
  <si>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9"/>
  </si>
  <si>
    <t>017-722-6723</t>
  </si>
  <si>
    <t>aikoki</t>
    <phoneticPr fontId="9"/>
  </si>
  <si>
    <t>b6ScxW</t>
  </si>
  <si>
    <t xml:space="preserve">木村智美         </t>
    <phoneticPr fontId="9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</si>
  <si>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</si>
  <si>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</si>
  <si>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</si>
  <si>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</si>
  <si>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</si>
  <si>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9"/>
  </si>
  <si>
    <t>0172-34-9034</t>
  </si>
  <si>
    <t>tomomis</t>
    <phoneticPr fontId="9"/>
  </si>
  <si>
    <t xml:space="preserve">木村 聡        </t>
    <phoneticPr fontId="9"/>
  </si>
  <si>
    <t>ｷﾑﾗ ｻﾄﾙ</t>
  </si>
  <si>
    <t>八戸市立市民病院眼科</t>
    <rPh sb="2" eb="4">
      <t>シリツ</t>
    </rPh>
    <phoneticPr fontId="9"/>
  </si>
  <si>
    <t>031-8555</t>
    <phoneticPr fontId="9"/>
  </si>
  <si>
    <t>八戸市田向3丁目１－１</t>
    <rPh sb="3" eb="4">
      <t>デン</t>
    </rPh>
    <rPh sb="4" eb="5">
      <t>コウ</t>
    </rPh>
    <rPh sb="6" eb="8">
      <t>チョウメ</t>
    </rPh>
    <phoneticPr fontId="9"/>
  </si>
  <si>
    <t>0178-72-5111</t>
  </si>
  <si>
    <t>031ｰ0822</t>
    <phoneticPr fontId="9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</si>
  <si>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9"/>
  </si>
  <si>
    <t>satoru</t>
    <phoneticPr fontId="9"/>
  </si>
  <si>
    <t xml:space="preserve">木村百子       </t>
    <phoneticPr fontId="9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</si>
  <si>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</si>
  <si>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</si>
  <si>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</si>
  <si>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</si>
  <si>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</si>
  <si>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</si>
  <si>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</si>
  <si>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9"/>
  </si>
  <si>
    <t>momoko</t>
    <phoneticPr fontId="9"/>
  </si>
  <si>
    <t xml:space="preserve">工藤朝香        </t>
    <phoneticPr fontId="9"/>
  </si>
  <si>
    <t>ｸﾄﾞｳ ｱｻｶ</t>
  </si>
  <si>
    <t>弘前大学医学部眼科</t>
    <rPh sb="4" eb="6">
      <t>イガク</t>
    </rPh>
    <rPh sb="6" eb="7">
      <t>ブ</t>
    </rPh>
    <phoneticPr fontId="9"/>
  </si>
  <si>
    <t>弘前市在府町５</t>
    <phoneticPr fontId="9"/>
  </si>
  <si>
    <t>0172-39-5095</t>
  </si>
  <si>
    <t>036-8274</t>
  </si>
  <si>
    <t>弘前市南城西２－１０－１－２０１</t>
  </si>
  <si>
    <t>090-7070-3482</t>
  </si>
  <si>
    <t>asaka</t>
    <phoneticPr fontId="9"/>
  </si>
  <si>
    <t>kanagi</t>
    <phoneticPr fontId="9"/>
  </si>
  <si>
    <t>工藤晶子</t>
    <rPh sb="0" eb="2">
      <t>クドウ</t>
    </rPh>
    <rPh sb="2" eb="4">
      <t>ショウコ</t>
    </rPh>
    <phoneticPr fontId="9"/>
  </si>
  <si>
    <t>ｸﾄﾞｳ ｱｷｺ</t>
    <phoneticPr fontId="9"/>
  </si>
  <si>
    <t>よしだ眼科クリニック</t>
    <rPh sb="3" eb="5">
      <t>ガンカ</t>
    </rPh>
    <phoneticPr fontId="9"/>
  </si>
  <si>
    <t>017-0885</t>
    <phoneticPr fontId="9"/>
  </si>
  <si>
    <t>秋田県大館市豊町9-45</t>
    <phoneticPr fontId="9"/>
  </si>
  <si>
    <t>0186-45-1477</t>
  </si>
  <si>
    <t>036-8182</t>
  </si>
  <si>
    <t>弘前市土手町48-1 ﾎﾟﾚｽﾀｰｾﾝﾄﾗﾙｼﾃｨ弘前 1208</t>
  </si>
  <si>
    <t>090-4611-3298</t>
  </si>
  <si>
    <t>akikoku</t>
    <phoneticPr fontId="9"/>
  </si>
  <si>
    <t xml:space="preserve">工藤孝志        </t>
    <phoneticPr fontId="9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</si>
  <si>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</si>
  <si>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9"/>
  </si>
  <si>
    <t>034-0093</t>
    <phoneticPr fontId="9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</si>
  <si>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9"/>
  </si>
  <si>
    <t>0176-22-2111</t>
    <phoneticPr fontId="9"/>
  </si>
  <si>
    <t>034-0011</t>
    <phoneticPr fontId="9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</si>
  <si>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9"/>
  </si>
  <si>
    <t>090-2796-6169</t>
  </si>
  <si>
    <t>kudo_takashi_80828@yahoo.co.jp</t>
    <phoneticPr fontId="9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</si>
  <si>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9"/>
  </si>
  <si>
    <t>takashik</t>
    <phoneticPr fontId="9"/>
  </si>
  <si>
    <t>d7st6x</t>
    <phoneticPr fontId="9"/>
  </si>
  <si>
    <t xml:space="preserve">工藤高道   </t>
    <phoneticPr fontId="9"/>
  </si>
  <si>
    <t>ｸﾄﾞｳ ﾀｶﾐﾁ</t>
  </si>
  <si>
    <t>036-8056</t>
  </si>
  <si>
    <t>弘前市禰宜町５－１</t>
  </si>
  <si>
    <t>0172-34-4254</t>
  </si>
  <si>
    <t>takamichi</t>
    <phoneticPr fontId="9"/>
  </si>
  <si>
    <t>negi51</t>
    <phoneticPr fontId="9"/>
  </si>
  <si>
    <t xml:space="preserve">久保勝文         </t>
    <phoneticPr fontId="9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</si>
  <si>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</si>
  <si>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</si>
  <si>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</si>
  <si>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</si>
  <si>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</si>
  <si>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9"/>
  </si>
  <si>
    <t>jogginggogo</t>
    <phoneticPr fontId="9"/>
  </si>
  <si>
    <t xml:space="preserve">熊谷俊一       </t>
    <phoneticPr fontId="9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</si>
  <si>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</si>
  <si>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</si>
  <si>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</si>
  <si>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9"/>
  </si>
  <si>
    <t>0178-72-1111</t>
  </si>
  <si>
    <t>031-0804</t>
  </si>
  <si>
    <t xml:space="preserve">八戸市青葉３－２３－２０ </t>
  </si>
  <si>
    <t>0178-47-9212</t>
  </si>
  <si>
    <t>shunichi</t>
    <phoneticPr fontId="9"/>
  </si>
  <si>
    <t>熊谷知幸</t>
    <rPh sb="2" eb="3">
      <t>チ</t>
    </rPh>
    <rPh sb="3" eb="4">
      <t>ユキ</t>
    </rPh>
    <phoneticPr fontId="9"/>
  </si>
  <si>
    <t>ｸﾏｶﾞｲﾄﾓﾕｷ</t>
    <phoneticPr fontId="9"/>
  </si>
  <si>
    <t>tomoyukiku</t>
    <phoneticPr fontId="9"/>
  </si>
  <si>
    <t>vT4LXE</t>
  </si>
  <si>
    <t xml:space="preserve">栗原睦美       </t>
    <phoneticPr fontId="9"/>
  </si>
  <si>
    <t>ｸﾘﾊﾗ ﾑﾂﾐ</t>
  </si>
  <si>
    <t>むつみ眼科ｸﾘﾆｯｸ</t>
    <phoneticPr fontId="9"/>
  </si>
  <si>
    <t>033-0001</t>
    <phoneticPr fontId="9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</si>
  <si>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9"/>
  </si>
  <si>
    <t>0176-58-5215</t>
    <phoneticPr fontId="9"/>
  </si>
  <si>
    <t>031-0823</t>
  </si>
  <si>
    <t>八戸市湊高台１－１７－１４</t>
  </si>
  <si>
    <t>0178-33-5183</t>
    <phoneticPr fontId="9"/>
  </si>
  <si>
    <t>mutsumi</t>
    <phoneticPr fontId="9"/>
  </si>
  <si>
    <t>黒坂成希</t>
    <rPh sb="0" eb="2">
      <t>クロサカ</t>
    </rPh>
    <rPh sb="2" eb="4">
      <t>ナルキ</t>
    </rPh>
    <phoneticPr fontId="9"/>
  </si>
  <si>
    <t>ｸﾛｻｶ ﾅﾙｷ</t>
    <phoneticPr fontId="9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</si>
  <si>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9"/>
  </si>
  <si>
    <t>030-8553</t>
    <phoneticPr fontId="9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</si>
  <si>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9"/>
  </si>
  <si>
    <t>017-726-8257</t>
    <phoneticPr fontId="9"/>
  </si>
  <si>
    <t>036-8364</t>
    <phoneticPr fontId="9"/>
  </si>
  <si>
    <t>弘前市新町１６６－１シャーメゾンまるぜん202</t>
    <rPh sb="0" eb="3">
      <t>ヒロサキシ</t>
    </rPh>
    <phoneticPr fontId="9"/>
  </si>
  <si>
    <t>080-6038-0676</t>
    <phoneticPr fontId="9"/>
  </si>
  <si>
    <t>kurosaka1128@hirosaki-u.ac.jp</t>
    <phoneticPr fontId="9"/>
  </si>
  <si>
    <t>C</t>
    <phoneticPr fontId="9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</si>
  <si>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9"/>
  </si>
  <si>
    <t>naruki</t>
    <phoneticPr fontId="9"/>
  </si>
  <si>
    <t xml:space="preserve">黒滝淳二       </t>
    <phoneticPr fontId="9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</si>
  <si>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</si>
  <si>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9"/>
  </si>
  <si>
    <t>031-0075</t>
    <phoneticPr fontId="9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</si>
  <si>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9"/>
  </si>
  <si>
    <t>0178-51-8400</t>
    <phoneticPr fontId="9"/>
  </si>
  <si>
    <t>八戸市内丸３－５－１６</t>
  </si>
  <si>
    <t>0178-22-4429</t>
  </si>
  <si>
    <t>junji</t>
    <phoneticPr fontId="9"/>
  </si>
  <si>
    <t>devgiri8848</t>
    <phoneticPr fontId="9"/>
  </si>
  <si>
    <t>古川智美</t>
    <rPh sb="0" eb="2">
      <t>コガワ</t>
    </rPh>
    <rPh sb="2" eb="4">
      <t>サトミ</t>
    </rPh>
    <phoneticPr fontId="9"/>
  </si>
  <si>
    <t>ｺｶﾞﾜ　ｻﾄﾐ</t>
    <phoneticPr fontId="9"/>
  </si>
  <si>
    <t>弘前大学医学部眼科</t>
    <phoneticPr fontId="9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</si>
  <si>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9"/>
  </si>
  <si>
    <t>070-5616-4547</t>
    <phoneticPr fontId="9"/>
  </si>
  <si>
    <t>satomi</t>
    <phoneticPr fontId="9"/>
  </si>
  <si>
    <t>030612</t>
    <phoneticPr fontId="9"/>
  </si>
  <si>
    <t>小島 創太</t>
    <rPh sb="0" eb="2">
      <t>コジマ</t>
    </rPh>
    <rPh sb="3" eb="5">
      <t>ソウタ</t>
    </rPh>
    <phoneticPr fontId="9"/>
  </si>
  <si>
    <t>ｺｼﾞﾏ ｿｳﾀ</t>
    <phoneticPr fontId="9"/>
  </si>
  <si>
    <t>江陽アイクリニック</t>
    <rPh sb="0" eb="2">
      <t>コウヨウ</t>
    </rPh>
    <phoneticPr fontId="9"/>
  </si>
  <si>
    <t>031-0801</t>
    <phoneticPr fontId="9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</si>
  <si>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9"/>
  </si>
  <si>
    <t>0178-45-1751</t>
    <phoneticPr fontId="9"/>
  </si>
  <si>
    <t>031-0001</t>
    <phoneticPr fontId="9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</si>
  <si>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9"/>
  </si>
  <si>
    <t>090-2029-2058</t>
    <phoneticPr fontId="9"/>
  </si>
  <si>
    <t>souta</t>
    <phoneticPr fontId="9"/>
  </si>
  <si>
    <t xml:space="preserve">小堀和子        </t>
    <phoneticPr fontId="9"/>
  </si>
  <si>
    <t>ｺﾎﾞﾘ ｶｽﾞｺ</t>
    <phoneticPr fontId="9"/>
  </si>
  <si>
    <t>小堀眼科</t>
  </si>
  <si>
    <t>030-0963</t>
    <phoneticPr fontId="9"/>
  </si>
  <si>
    <t>青森市中佃２－７－３４</t>
  </si>
  <si>
    <t>017-765-1414</t>
  </si>
  <si>
    <t>030-0963</t>
  </si>
  <si>
    <t>青森市中佃２－７－３４</t>
    <phoneticPr fontId="9"/>
  </si>
  <si>
    <t>017-744-0671</t>
  </si>
  <si>
    <t>kazuko</t>
    <phoneticPr fontId="9"/>
  </si>
  <si>
    <t>小堀宏理</t>
    <rPh sb="0" eb="2">
      <t>コボリ</t>
    </rPh>
    <rPh sb="2" eb="3">
      <t>ヒロ</t>
    </rPh>
    <rPh sb="3" eb="4">
      <t>リ</t>
    </rPh>
    <phoneticPr fontId="9"/>
  </si>
  <si>
    <t>ｺﾎﾞﾘ ﾋﾛﾐﾁ</t>
    <phoneticPr fontId="9"/>
  </si>
  <si>
    <t>036-8562</t>
  </si>
  <si>
    <t>036-8181</t>
    <phoneticPr fontId="9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</si>
  <si>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9"/>
  </si>
  <si>
    <t>080-6036-5646</t>
    <phoneticPr fontId="9"/>
  </si>
  <si>
    <t>hiromichi</t>
    <phoneticPr fontId="9"/>
  </si>
  <si>
    <t>061112</t>
    <phoneticPr fontId="9"/>
  </si>
  <si>
    <t xml:space="preserve">権 昭致       </t>
    <phoneticPr fontId="9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</si>
  <si>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</si>
  <si>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9"/>
  </si>
  <si>
    <t>038-0015</t>
    <phoneticPr fontId="9"/>
  </si>
  <si>
    <t>青森市千刈２－１－３５</t>
  </si>
  <si>
    <t>017-766-8877</t>
  </si>
  <si>
    <t>青森市千刈２－１－３５</t>
    <phoneticPr fontId="9"/>
  </si>
  <si>
    <t>017-766-8877</t>
    <phoneticPr fontId="9"/>
  </si>
  <si>
    <t>akimune</t>
    <phoneticPr fontId="9"/>
  </si>
  <si>
    <t>bze3fqr2</t>
    <phoneticPr fontId="9"/>
  </si>
  <si>
    <t>さ</t>
    <phoneticPr fontId="9"/>
  </si>
  <si>
    <t xml:space="preserve">齋藤かほり        </t>
    <phoneticPr fontId="9"/>
  </si>
  <si>
    <t>ｻｲﾄｳ ｶﾎﾘ</t>
    <phoneticPr fontId="9"/>
  </si>
  <si>
    <t>医）青森眼科クリニック</t>
    <phoneticPr fontId="9"/>
  </si>
  <si>
    <t>030-0913</t>
  </si>
  <si>
    <t>青森市東造道１－４－３</t>
    <phoneticPr fontId="9"/>
  </si>
  <si>
    <t>017-736-8111</t>
    <phoneticPr fontId="9"/>
  </si>
  <si>
    <t>030-0961</t>
  </si>
  <si>
    <t>青森市浪打１－１９－１</t>
    <phoneticPr fontId="9"/>
  </si>
  <si>
    <t>017-718-1385</t>
  </si>
  <si>
    <t>kahori</t>
    <phoneticPr fontId="9"/>
  </si>
  <si>
    <t>q5sxhy</t>
    <phoneticPr fontId="9"/>
  </si>
  <si>
    <t xml:space="preserve">斎藤桂子        </t>
    <phoneticPr fontId="9"/>
  </si>
  <si>
    <t>ｻｲﾄｳ ｹｲｺ</t>
  </si>
  <si>
    <t>八戸市立市民病院眼科</t>
  </si>
  <si>
    <t>八戸市田向3丁目１－１</t>
    <rPh sb="6" eb="8">
      <t>チョウメ</t>
    </rPh>
    <phoneticPr fontId="9"/>
  </si>
  <si>
    <t>keikos</t>
    <phoneticPr fontId="9"/>
  </si>
  <si>
    <t>violin</t>
    <phoneticPr fontId="9"/>
  </si>
  <si>
    <t xml:space="preserve">坂下昌弘      </t>
    <phoneticPr fontId="9"/>
  </si>
  <si>
    <t>ｻｶｼﾀ ﾏｻﾋﾛ</t>
  </si>
  <si>
    <t>031-0001</t>
  </si>
  <si>
    <t>八戸市類家５－２－１８</t>
  </si>
  <si>
    <t>0178-22-2411</t>
  </si>
  <si>
    <t>masahiro</t>
    <phoneticPr fontId="9"/>
  </si>
  <si>
    <t>sakashita3210</t>
    <phoneticPr fontId="9"/>
  </si>
  <si>
    <t xml:space="preserve">櫻庭知己        </t>
    <rPh sb="0" eb="1">
      <t>サクラ</t>
    </rPh>
    <phoneticPr fontId="9"/>
  </si>
  <si>
    <t>ｻｸﾗﾊﾞﾄﾓｷ</t>
    <phoneticPr fontId="9"/>
  </si>
  <si>
    <t>036-8103</t>
  </si>
  <si>
    <t>弘前市川先２－８－２</t>
  </si>
  <si>
    <t>017-227-4871</t>
  </si>
  <si>
    <t>tomoki</t>
    <phoneticPr fontId="9"/>
  </si>
  <si>
    <t>victory777</t>
    <phoneticPr fontId="9"/>
  </si>
  <si>
    <t xml:space="preserve">佐藤元哉        </t>
    <phoneticPr fontId="9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</si>
  <si>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</si>
  <si>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</si>
  <si>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</si>
  <si>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</si>
  <si>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</si>
  <si>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</si>
  <si>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</si>
  <si>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</si>
  <si>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9"/>
  </si>
  <si>
    <t>0177423077</t>
    <phoneticPr fontId="9"/>
  </si>
  <si>
    <t xml:space="preserve">三戸千賀子        </t>
    <phoneticPr fontId="9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</si>
  <si>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</si>
  <si>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</si>
  <si>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</si>
  <si>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9"/>
  </si>
  <si>
    <t>017-781-2511</t>
  </si>
  <si>
    <t>青森市浪館志田２４</t>
  </si>
  <si>
    <t xml:space="preserve"> 017-781-2517</t>
  </si>
  <si>
    <t>監事</t>
    <rPh sb="0" eb="2">
      <t>カンジ</t>
    </rPh>
    <phoneticPr fontId="9"/>
  </si>
  <si>
    <t>chikako</t>
    <phoneticPr fontId="9"/>
  </si>
  <si>
    <t>d72semh9</t>
    <phoneticPr fontId="9"/>
  </si>
  <si>
    <t>鹿内祐樹</t>
    <rPh sb="0" eb="2">
      <t>シカナイ</t>
    </rPh>
    <rPh sb="2" eb="4">
      <t>ユウキ</t>
    </rPh>
    <phoneticPr fontId="9"/>
  </si>
  <si>
    <t>ｼｶﾅｲ ﾕｳｷ</t>
    <phoneticPr fontId="9"/>
  </si>
  <si>
    <t xml:space="preserve">鹿内眼科医院 </t>
    <rPh sb="0" eb="2">
      <t>シカナイ</t>
    </rPh>
    <rPh sb="2" eb="4">
      <t>ガンカ</t>
    </rPh>
    <rPh sb="4" eb="6">
      <t>イイン</t>
    </rPh>
    <phoneticPr fontId="9"/>
  </si>
  <si>
    <t>039-1166</t>
    <phoneticPr fontId="9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</si>
  <si>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9"/>
  </si>
  <si>
    <t>0178-73-1213</t>
    <phoneticPr fontId="9"/>
  </si>
  <si>
    <t>0178-43-6656</t>
    <phoneticPr fontId="9"/>
  </si>
  <si>
    <t>ｲ)ｼﾞﾝｼﾞｭｶｲ</t>
    <phoneticPr fontId="9"/>
  </si>
  <si>
    <t>yuukis</t>
    <phoneticPr fontId="9"/>
  </si>
  <si>
    <t>Au6irk</t>
  </si>
  <si>
    <t>荘司琢郎</t>
    <rPh sb="0" eb="2">
      <t>ショウジ</t>
    </rPh>
    <rPh sb="2" eb="4">
      <t>タクロウ</t>
    </rPh>
    <phoneticPr fontId="9"/>
  </si>
  <si>
    <t>ｼｮｳｼﾞﾀｸﾛｳ</t>
    <phoneticPr fontId="9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</si>
  <si>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9"/>
  </si>
  <si>
    <t>030-0801</t>
    <phoneticPr fontId="9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</si>
  <si>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9"/>
  </si>
  <si>
    <t xml:space="preserve">017-764-6106 </t>
    <phoneticPr fontId="9"/>
  </si>
  <si>
    <t>039-1103</t>
    <phoneticPr fontId="9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</si>
  <si>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9"/>
  </si>
  <si>
    <t>0178-80-7920</t>
    <phoneticPr fontId="9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</si>
  <si>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9"/>
  </si>
  <si>
    <t>takurous</t>
    <phoneticPr fontId="9"/>
  </si>
  <si>
    <t>t6QyKm</t>
  </si>
  <si>
    <t xml:space="preserve">荘司陽子         </t>
    <rPh sb="0" eb="2">
      <t>ショウジ</t>
    </rPh>
    <phoneticPr fontId="9"/>
  </si>
  <si>
    <t>ｼｮｳｼﾞﾖｳｺ</t>
    <phoneticPr fontId="9"/>
  </si>
  <si>
    <t>　</t>
    <phoneticPr fontId="9"/>
  </si>
  <si>
    <t>youko</t>
    <phoneticPr fontId="9"/>
  </si>
  <si>
    <t>r6nt5xy</t>
    <phoneticPr fontId="9"/>
  </si>
  <si>
    <t>白濵久美</t>
    <rPh sb="0" eb="2">
      <t>シラハマ</t>
    </rPh>
    <rPh sb="2" eb="4">
      <t>クミ</t>
    </rPh>
    <phoneticPr fontId="9"/>
  </si>
  <si>
    <t>ｼﾗﾊﾏ ｸﾐ</t>
    <phoneticPr fontId="9"/>
  </si>
  <si>
    <t>031-8545</t>
  </si>
  <si>
    <t>031-0845</t>
    <phoneticPr fontId="9"/>
  </si>
  <si>
    <t>八戸市城下4-17-2-305</t>
    <rPh sb="0" eb="3">
      <t>ハチノヘシ</t>
    </rPh>
    <rPh sb="3" eb="5">
      <t>シロシタ</t>
    </rPh>
    <phoneticPr fontId="9"/>
  </si>
  <si>
    <t>090-1694-5380</t>
    <phoneticPr fontId="9"/>
  </si>
  <si>
    <t>kumi</t>
    <phoneticPr fontId="9"/>
  </si>
  <si>
    <t>吹田淑子</t>
    <rPh sb="0" eb="2">
      <t>スイタ</t>
    </rPh>
    <rPh sb="2" eb="4">
      <t>ヨシコ</t>
    </rPh>
    <phoneticPr fontId="9"/>
  </si>
  <si>
    <t>ｽｲﾀ ﾖｼｺ</t>
    <phoneticPr fontId="9"/>
  </si>
  <si>
    <t>2000/5/</t>
    <phoneticPr fontId="9"/>
  </si>
  <si>
    <t>036-0846</t>
    <phoneticPr fontId="9"/>
  </si>
  <si>
    <t>弘前市北横町39</t>
    <rPh sb="0" eb="3">
      <t>ヒロサキシ</t>
    </rPh>
    <rPh sb="3" eb="4">
      <t>キタ</t>
    </rPh>
    <rPh sb="4" eb="6">
      <t>ヨコチョウ</t>
    </rPh>
    <phoneticPr fontId="9"/>
  </si>
  <si>
    <t>0172-36-0617</t>
    <phoneticPr fontId="9"/>
  </si>
  <si>
    <t>yoshiko</t>
    <phoneticPr fontId="9"/>
  </si>
  <si>
    <t xml:space="preserve">鈴木 香         </t>
    <phoneticPr fontId="9"/>
  </si>
  <si>
    <t>ｽｽﾞｷ ｶｵﾘ</t>
    <phoneticPr fontId="9"/>
  </si>
  <si>
    <t>はら眼科</t>
    <rPh sb="2" eb="4">
      <t>ガンカ</t>
    </rPh>
    <phoneticPr fontId="9"/>
  </si>
  <si>
    <t>037-0036</t>
    <phoneticPr fontId="9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</si>
  <si>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9"/>
  </si>
  <si>
    <t>0173-26-7171</t>
    <phoneticPr fontId="9"/>
  </si>
  <si>
    <t>036-8025</t>
    <phoneticPr fontId="9"/>
  </si>
  <si>
    <t>弘前市南柳町1-2</t>
    <rPh sb="3" eb="4">
      <t>ミナミ</t>
    </rPh>
    <rPh sb="4" eb="6">
      <t>ヤナギマチ</t>
    </rPh>
    <phoneticPr fontId="9"/>
  </si>
  <si>
    <t>0172-36-6205</t>
  </si>
  <si>
    <t>090-1061-5113</t>
    <phoneticPr fontId="9"/>
  </si>
  <si>
    <t>kaori</t>
    <phoneticPr fontId="9"/>
  </si>
  <si>
    <t>suzuki6205</t>
    <phoneticPr fontId="9"/>
  </si>
  <si>
    <t xml:space="preserve">鈴木幸彦       </t>
    <phoneticPr fontId="9"/>
  </si>
  <si>
    <t>ｽｽﾞｷ ﾕｷﾋｺ</t>
  </si>
  <si>
    <t>弘前市在府町５</t>
  </si>
  <si>
    <t>0172-33-5111</t>
  </si>
  <si>
    <t>弘前市茂森新町３－１３－２　スカイハイツ２０１</t>
    <phoneticPr fontId="9"/>
  </si>
  <si>
    <t>0172-33-3850</t>
  </si>
  <si>
    <t>yukihiko</t>
    <phoneticPr fontId="9"/>
  </si>
  <si>
    <t xml:space="preserve">関野尹夫   </t>
    <phoneticPr fontId="9"/>
  </si>
  <si>
    <t>ｾｷﾉ ﾀﾀﾞｵ</t>
    <phoneticPr fontId="9"/>
  </si>
  <si>
    <t>034-0089</t>
    <phoneticPr fontId="9"/>
  </si>
  <si>
    <t>十和田市西二十三番町３５－３３</t>
  </si>
  <si>
    <t>0176-22-0122</t>
  </si>
  <si>
    <t>tadao</t>
    <phoneticPr fontId="9"/>
  </si>
  <si>
    <t>f29mqtr7</t>
    <phoneticPr fontId="9"/>
  </si>
  <si>
    <t>た</t>
    <phoneticPr fontId="9"/>
  </si>
  <si>
    <t>高橋佳二</t>
    <rPh sb="0" eb="2">
      <t>タカハシ</t>
    </rPh>
    <rPh sb="2" eb="4">
      <t>ヨシジ</t>
    </rPh>
    <phoneticPr fontId="9"/>
  </si>
  <si>
    <t>ﾀｶﾊｼ ｹｲｼﾞ</t>
    <phoneticPr fontId="9"/>
  </si>
  <si>
    <t>高橋眼科</t>
  </si>
  <si>
    <t>030-0812</t>
  </si>
  <si>
    <t>青森市堤町２－１－２６</t>
    <phoneticPr fontId="9"/>
  </si>
  <si>
    <t>017-734-4866</t>
  </si>
  <si>
    <t>030-0966</t>
  </si>
  <si>
    <t>青森市花園２－２０－７</t>
  </si>
  <si>
    <t>017-741-4866</t>
  </si>
  <si>
    <t>keiji</t>
    <phoneticPr fontId="9"/>
  </si>
  <si>
    <t>c9mfd3</t>
    <phoneticPr fontId="9"/>
  </si>
  <si>
    <t xml:space="preserve">高橋大介         </t>
    <rPh sb="0" eb="2">
      <t>タカハシ</t>
    </rPh>
    <phoneticPr fontId="9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</si>
  <si>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</si>
  <si>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</si>
  <si>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</si>
  <si>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</si>
  <si>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</si>
  <si>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</si>
  <si>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</si>
  <si>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</si>
  <si>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9"/>
  </si>
  <si>
    <t>5y2w3nd</t>
    <phoneticPr fontId="9"/>
  </si>
  <si>
    <t xml:space="preserve">高橋奈美子        </t>
    <rPh sb="0" eb="2">
      <t>タカハシ</t>
    </rPh>
    <phoneticPr fontId="9"/>
  </si>
  <si>
    <t>ﾀｶﾊｼ ﾅﾐｺ</t>
    <phoneticPr fontId="9"/>
  </si>
  <si>
    <t>医）浅水眼科馬場町眼科クリニック</t>
  </si>
  <si>
    <t>031-0074</t>
  </si>
  <si>
    <t>八戸市馬場町２</t>
    <phoneticPr fontId="9"/>
  </si>
  <si>
    <t>0178-22-3462</t>
    <phoneticPr fontId="9"/>
  </si>
  <si>
    <t>八戸市馬場町２</t>
  </si>
  <si>
    <t>0178-22-9822</t>
  </si>
  <si>
    <t>namiko</t>
    <phoneticPr fontId="9"/>
  </si>
  <si>
    <t>2m7fr68n</t>
    <phoneticPr fontId="9"/>
  </si>
  <si>
    <t xml:space="preserve">高橋后幸         </t>
    <phoneticPr fontId="9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</si>
  <si>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</si>
  <si>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</si>
  <si>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</si>
  <si>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</si>
  <si>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</si>
  <si>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</si>
  <si>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</si>
  <si>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</si>
  <si>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9"/>
  </si>
  <si>
    <t xml:space="preserve">竹内侯雄        </t>
    <phoneticPr fontId="9"/>
  </si>
  <si>
    <t>ﾀｹｳﾁ ｷﾐｵ</t>
  </si>
  <si>
    <t>050-3444-8481</t>
    <phoneticPr fontId="9"/>
  </si>
  <si>
    <t>kimio</t>
    <phoneticPr fontId="9"/>
  </si>
  <si>
    <t>d7855sf</t>
    <phoneticPr fontId="9"/>
  </si>
  <si>
    <t>田名部甫真</t>
    <rPh sb="0" eb="3">
      <t>タナブ</t>
    </rPh>
    <rPh sb="3" eb="4">
      <t>ホ</t>
    </rPh>
    <rPh sb="4" eb="5">
      <t>シン</t>
    </rPh>
    <phoneticPr fontId="9"/>
  </si>
  <si>
    <t>ﾀﾅﾌﾞ　ﾉﾘﾐﾁ</t>
    <phoneticPr fontId="9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</si>
  <si>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9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</si>
  <si>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9"/>
  </si>
  <si>
    <t>034-0081</t>
    <phoneticPr fontId="9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</si>
  <si>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9"/>
  </si>
  <si>
    <t>090-3363-1467</t>
    <phoneticPr fontId="9"/>
  </si>
  <si>
    <t>tanab.b.med.0630@gmail.com</t>
    <phoneticPr fontId="9"/>
  </si>
  <si>
    <t>norimichi</t>
    <phoneticPr fontId="9"/>
  </si>
  <si>
    <t>fW9wpX</t>
    <phoneticPr fontId="9"/>
  </si>
  <si>
    <t xml:space="preserve">田村正人        </t>
    <phoneticPr fontId="9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</si>
  <si>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</si>
  <si>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</si>
  <si>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</si>
  <si>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9"/>
  </si>
  <si>
    <t>masato</t>
    <phoneticPr fontId="9"/>
  </si>
  <si>
    <t>gankadr</t>
    <phoneticPr fontId="9"/>
  </si>
  <si>
    <t>丹藤利夫</t>
    <rPh sb="0" eb="2">
      <t>タンドウ</t>
    </rPh>
    <rPh sb="2" eb="4">
      <t>トシオ</t>
    </rPh>
    <phoneticPr fontId="9"/>
  </si>
  <si>
    <t>ﾀﾝﾄﾞｳ ﾄｼｵ</t>
    <phoneticPr fontId="9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</si>
  <si>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9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</si>
  <si>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9"/>
  </si>
  <si>
    <t>090-6701-0077</t>
    <phoneticPr fontId="9"/>
  </si>
  <si>
    <t>toshiot</t>
    <phoneticPr fontId="9"/>
  </si>
  <si>
    <t>Yjx7e56v</t>
    <phoneticPr fontId="9"/>
  </si>
  <si>
    <t xml:space="preserve">對馬敬子  </t>
    <phoneticPr fontId="9"/>
  </si>
  <si>
    <t>ﾂｼﾏ ｹｲｺ</t>
  </si>
  <si>
    <t>青森市堤町２－１２－９</t>
  </si>
  <si>
    <t>017-734-3637</t>
  </si>
  <si>
    <t>D</t>
    <phoneticPr fontId="9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</si>
  <si>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9"/>
  </si>
  <si>
    <t>keikot</t>
    <phoneticPr fontId="9"/>
  </si>
  <si>
    <t>k52u7fy4</t>
    <phoneticPr fontId="9"/>
  </si>
  <si>
    <t xml:space="preserve">角田冠奈        </t>
    <phoneticPr fontId="9"/>
  </si>
  <si>
    <t>ﾂﾉﾀﾞ ｶﾝﾅ</t>
  </si>
  <si>
    <t>ＥＳＴクリニック 眼科</t>
    <rPh sb="9" eb="11">
      <t>ガンカ</t>
    </rPh>
    <phoneticPr fontId="9"/>
  </si>
  <si>
    <t>036-8266</t>
  </si>
  <si>
    <t>弘前市自由ヶ丘１－６－１１</t>
  </si>
  <si>
    <t>0172-89-2760</t>
  </si>
  <si>
    <t>kanna</t>
    <phoneticPr fontId="9"/>
  </si>
  <si>
    <t>な</t>
    <phoneticPr fontId="9"/>
  </si>
  <si>
    <t xml:space="preserve">中野美奈         </t>
    <phoneticPr fontId="9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</si>
  <si>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</si>
  <si>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</si>
  <si>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</si>
  <si>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</si>
  <si>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</si>
  <si>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9"/>
  </si>
  <si>
    <t>0178-25-8820</t>
  </si>
  <si>
    <t xml:space="preserve">mina </t>
    <phoneticPr fontId="9"/>
  </si>
  <si>
    <t>skiing</t>
    <phoneticPr fontId="9"/>
  </si>
  <si>
    <t xml:space="preserve">中村秀雄         </t>
    <phoneticPr fontId="9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</si>
  <si>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</si>
  <si>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9"/>
  </si>
  <si>
    <t>030-0821</t>
    <phoneticPr fontId="9"/>
  </si>
  <si>
    <t>青森市勝田1-14-20</t>
    <rPh sb="0" eb="3">
      <t>アオモリシ</t>
    </rPh>
    <rPh sb="3" eb="5">
      <t>カツタ</t>
    </rPh>
    <phoneticPr fontId="9"/>
  </si>
  <si>
    <t>0177-34-2171</t>
    <phoneticPr fontId="9"/>
  </si>
  <si>
    <t>030-0813</t>
    <phoneticPr fontId="9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</si>
  <si>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9"/>
  </si>
  <si>
    <t>090-3644-2588</t>
    <phoneticPr fontId="9"/>
  </si>
  <si>
    <t>hideo</t>
    <phoneticPr fontId="9"/>
  </si>
  <si>
    <t>thankyou</t>
    <phoneticPr fontId="9"/>
  </si>
  <si>
    <t xml:space="preserve">中村秀世         </t>
    <phoneticPr fontId="9"/>
  </si>
  <si>
    <t>ﾅｶﾑﾗ ﾋﾃﾞﾖ</t>
  </si>
  <si>
    <t>中村眼科クリニック</t>
  </si>
  <si>
    <t>035-0033</t>
  </si>
  <si>
    <t>むつ市横迎町２－１－９</t>
    <phoneticPr fontId="9"/>
  </si>
  <si>
    <t>0175-22-2512</t>
  </si>
  <si>
    <t>035-0033</t>
    <phoneticPr fontId="9"/>
  </si>
  <si>
    <t>0175-22-2512</t>
    <phoneticPr fontId="9"/>
  </si>
  <si>
    <t>hideyo</t>
    <phoneticPr fontId="9"/>
  </si>
  <si>
    <t>奈良馨</t>
    <rPh sb="0" eb="2">
      <t>ナラ</t>
    </rPh>
    <rPh sb="2" eb="3">
      <t>カオル</t>
    </rPh>
    <phoneticPr fontId="9"/>
  </si>
  <si>
    <t>ﾅﾗ　ｶｵﾙ</t>
    <phoneticPr fontId="9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</si>
  <si>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</si>
  <si>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弘前市本町53</t>
    <rPh sb="0" eb="3">
      <t>ヒロサキシ</t>
    </rPh>
    <rPh sb="3" eb="5">
      <t>ホンチョウ</t>
    </rPh>
    <phoneticPr fontId="9"/>
  </si>
  <si>
    <t>036-8172</t>
    <phoneticPr fontId="9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</si>
  <si>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9"/>
  </si>
  <si>
    <t>090-7931-0382</t>
    <phoneticPr fontId="9"/>
  </si>
  <si>
    <t>kaoru</t>
    <phoneticPr fontId="9"/>
  </si>
  <si>
    <t xml:space="preserve">成田清美         </t>
    <phoneticPr fontId="9"/>
  </si>
  <si>
    <t>ﾅﾘﾀ ｷﾖﾊﾙ</t>
  </si>
  <si>
    <t>成田眼科クリニック</t>
    <phoneticPr fontId="9"/>
  </si>
  <si>
    <t>036-8205</t>
    <phoneticPr fontId="9"/>
  </si>
  <si>
    <t>弘前市大字森町９－１</t>
  </si>
  <si>
    <t>0172-35-5155</t>
    <phoneticPr fontId="9"/>
  </si>
  <si>
    <t>036-8231</t>
  </si>
  <si>
    <t>弘前市大字稔町２３－２７</t>
  </si>
  <si>
    <t>0172-34-6188</t>
  </si>
  <si>
    <t>kiyoharu</t>
    <phoneticPr fontId="9"/>
  </si>
  <si>
    <t>kidukuri0221</t>
    <phoneticPr fontId="9"/>
  </si>
  <si>
    <t>鳴海友洋</t>
    <rPh sb="0" eb="2">
      <t>ナルミ</t>
    </rPh>
    <rPh sb="2" eb="3">
      <t>トモ</t>
    </rPh>
    <rPh sb="3" eb="4">
      <t>ヒロ</t>
    </rPh>
    <phoneticPr fontId="9"/>
  </si>
  <si>
    <t>ﾅﾙﾐ　ﾄﾓﾋﾛ</t>
    <phoneticPr fontId="9"/>
  </si>
  <si>
    <t>036-8211</t>
    <phoneticPr fontId="9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</si>
  <si>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9"/>
  </si>
  <si>
    <t>080-9177-5635</t>
    <phoneticPr fontId="9"/>
  </si>
  <si>
    <t>tomohiro</t>
    <phoneticPr fontId="9"/>
  </si>
  <si>
    <t xml:space="preserve">沼田紘子       </t>
    <phoneticPr fontId="9"/>
  </si>
  <si>
    <t>ﾇﾏﾀ ﾋﾛｺ</t>
  </si>
  <si>
    <t>青森市花園町１－8－4</t>
    <phoneticPr fontId="9"/>
  </si>
  <si>
    <t>017-743-0421</t>
  </si>
  <si>
    <t>hirokon</t>
    <phoneticPr fontId="9"/>
  </si>
  <si>
    <t>numata0592</t>
    <phoneticPr fontId="9"/>
  </si>
  <si>
    <t xml:space="preserve">野田康子         </t>
    <phoneticPr fontId="9"/>
  </si>
  <si>
    <t>ﾉﾀﾞ ﾔｽｺ</t>
  </si>
  <si>
    <t>のだ眼科・血管内科クリニック</t>
    <rPh sb="5" eb="9">
      <t>ケッカンナイカ</t>
    </rPh>
    <phoneticPr fontId="9"/>
  </si>
  <si>
    <t>036-8061</t>
    <phoneticPr fontId="9"/>
  </si>
  <si>
    <t>弘前市神田３－２－１１</t>
    <rPh sb="3" eb="5">
      <t>カンダ</t>
    </rPh>
    <phoneticPr fontId="9"/>
  </si>
  <si>
    <t>0172-33-6611</t>
    <phoneticPr fontId="9"/>
  </si>
  <si>
    <t>036-8228</t>
    <phoneticPr fontId="9"/>
  </si>
  <si>
    <t>弘前市樹木１－２０－３</t>
    <phoneticPr fontId="9"/>
  </si>
  <si>
    <t>0172-37-0737</t>
  </si>
  <si>
    <t>yasukon</t>
    <phoneticPr fontId="9"/>
  </si>
  <si>
    <t>fuyumayu</t>
    <phoneticPr fontId="9"/>
  </si>
  <si>
    <t>野月徳実</t>
    <rPh sb="0" eb="2">
      <t>ノヅキ</t>
    </rPh>
    <rPh sb="2" eb="3">
      <t>トク</t>
    </rPh>
    <rPh sb="3" eb="4">
      <t>ミ</t>
    </rPh>
    <phoneticPr fontId="9"/>
  </si>
  <si>
    <t>ﾉﾂﾞｷ ﾅﾙﾐ</t>
    <phoneticPr fontId="9"/>
  </si>
  <si>
    <t>青森県立中央病院 眼科</t>
    <phoneticPr fontId="9"/>
  </si>
  <si>
    <t>弘前市在府町１３番地アーバンサイトB-102</t>
    <rPh sb="8" eb="10">
      <t>バンチ</t>
    </rPh>
    <phoneticPr fontId="9"/>
  </si>
  <si>
    <t>080-6056-8361</t>
    <phoneticPr fontId="9"/>
  </si>
  <si>
    <t>narumi</t>
    <phoneticPr fontId="9"/>
  </si>
  <si>
    <t>は</t>
    <phoneticPr fontId="9"/>
  </si>
  <si>
    <t xml:space="preserve">波紫秀厚       </t>
    <phoneticPr fontId="9"/>
  </si>
  <si>
    <t>ﾊｼ ﾋﾃﾞｱﾂ</t>
  </si>
  <si>
    <t>はし眼科</t>
  </si>
  <si>
    <t>034-0032</t>
  </si>
  <si>
    <t>十和田市東四番町９－７</t>
    <phoneticPr fontId="9"/>
  </si>
  <si>
    <t>0176-25-1184</t>
  </si>
  <si>
    <t>十和田市東四番町９－７</t>
  </si>
  <si>
    <t>0176-25-2784</t>
  </si>
  <si>
    <t>hideatsu</t>
    <phoneticPr fontId="9"/>
  </si>
  <si>
    <t>prostaglandine</t>
    <phoneticPr fontId="9"/>
  </si>
  <si>
    <t>濱端久仁子</t>
    <rPh sb="0" eb="2">
      <t>ハマバタ</t>
    </rPh>
    <rPh sb="2" eb="5">
      <t>クニコ</t>
    </rPh>
    <phoneticPr fontId="9"/>
  </si>
  <si>
    <t>ﾊﾏﾊﾞﾀ ｸﾆｺ</t>
    <phoneticPr fontId="9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</si>
  <si>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9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</si>
  <si>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9"/>
  </si>
  <si>
    <t>0178-51-9251</t>
    <phoneticPr fontId="9"/>
  </si>
  <si>
    <t>020-0633</t>
    <phoneticPr fontId="9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</si>
  <si>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9"/>
  </si>
  <si>
    <t>kuniko</t>
    <phoneticPr fontId="9"/>
  </si>
  <si>
    <t>原 藍子</t>
    <rPh sb="0" eb="1">
      <t>ハラ</t>
    </rPh>
    <rPh sb="2" eb="4">
      <t>アイコ</t>
    </rPh>
    <phoneticPr fontId="9"/>
  </si>
  <si>
    <t>ﾊﾗ ｱｲｺ</t>
    <phoneticPr fontId="9"/>
  </si>
  <si>
    <t>弘前大学医学部　眼科</t>
    <rPh sb="4" eb="6">
      <t>イガク</t>
    </rPh>
    <rPh sb="6" eb="7">
      <t>ブ</t>
    </rPh>
    <phoneticPr fontId="9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</si>
  <si>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9"/>
  </si>
  <si>
    <t>090-2797-2891</t>
    <phoneticPr fontId="9"/>
  </si>
  <si>
    <t>aikoh</t>
    <phoneticPr fontId="9"/>
  </si>
  <si>
    <t>y5kf24</t>
    <phoneticPr fontId="9"/>
  </si>
  <si>
    <t>原　将馬</t>
    <rPh sb="0" eb="1">
      <t>ハラ</t>
    </rPh>
    <rPh sb="2" eb="3">
      <t>マサル</t>
    </rPh>
    <rPh sb="3" eb="4">
      <t>ウマ</t>
    </rPh>
    <phoneticPr fontId="9"/>
  </si>
  <si>
    <t>ﾊﾗ　ｼｮｳﾏ</t>
    <phoneticPr fontId="9"/>
  </si>
  <si>
    <t>弘前大学医学部附属病院</t>
    <rPh sb="4" eb="6">
      <t>イガク</t>
    </rPh>
    <rPh sb="6" eb="7">
      <t>ブ</t>
    </rPh>
    <rPh sb="7" eb="11">
      <t>フゾクビョウイン</t>
    </rPh>
    <phoneticPr fontId="9"/>
  </si>
  <si>
    <t>弘前市本町53</t>
    <rPh sb="3" eb="5">
      <t>ホンチョウ</t>
    </rPh>
    <phoneticPr fontId="9"/>
  </si>
  <si>
    <t>036-8173</t>
    <phoneticPr fontId="9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</si>
  <si>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9"/>
  </si>
  <si>
    <t>080-2814-8841</t>
    <phoneticPr fontId="9"/>
  </si>
  <si>
    <t>shoma</t>
    <phoneticPr fontId="9"/>
  </si>
  <si>
    <t>cL64JQ</t>
    <phoneticPr fontId="9"/>
  </si>
  <si>
    <t xml:space="preserve">原 信哉        </t>
    <phoneticPr fontId="9"/>
  </si>
  <si>
    <t>ﾊﾗ ｼﾝﾔ</t>
  </si>
  <si>
    <t>医療法人アンドアイ　はら眼科</t>
    <rPh sb="0" eb="4">
      <t>イリョウホウジン</t>
    </rPh>
    <rPh sb="12" eb="14">
      <t>ガンカ</t>
    </rPh>
    <phoneticPr fontId="9"/>
  </si>
  <si>
    <t>037-0016</t>
    <phoneticPr fontId="9"/>
  </si>
  <si>
    <t>五所川原市一ッ谷509-10</t>
    <rPh sb="0" eb="5">
      <t>ゴショガワラシ</t>
    </rPh>
    <rPh sb="5" eb="6">
      <t>イチ</t>
    </rPh>
    <rPh sb="7" eb="8">
      <t>ヤ</t>
    </rPh>
    <phoneticPr fontId="9"/>
  </si>
  <si>
    <t>0173-26-7105</t>
    <phoneticPr fontId="9"/>
  </si>
  <si>
    <t>shinya</t>
    <phoneticPr fontId="9"/>
  </si>
  <si>
    <t>waseda1134</t>
    <phoneticPr fontId="9"/>
  </si>
  <si>
    <t xml:space="preserve">原田幸子         </t>
    <phoneticPr fontId="9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</si>
  <si>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</si>
  <si>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</si>
  <si>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</si>
  <si>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</si>
  <si>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9"/>
  </si>
  <si>
    <t xml:space="preserve">福士和夫     </t>
    <phoneticPr fontId="9"/>
  </si>
  <si>
    <t>ﾌｸｼ ｶｽﾞｵ</t>
  </si>
  <si>
    <t>030-0854</t>
  </si>
  <si>
    <t>青森市千富町２－１－１３</t>
  </si>
  <si>
    <t>017-766-0548</t>
  </si>
  <si>
    <t>kazuo</t>
    <phoneticPr fontId="9"/>
  </si>
  <si>
    <t>0380013</t>
    <phoneticPr fontId="9"/>
  </si>
  <si>
    <t xml:space="preserve">福田　敦     </t>
    <phoneticPr fontId="9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</si>
  <si>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</si>
  <si>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9"/>
  </si>
  <si>
    <t>039-2371</t>
  </si>
  <si>
    <t>上北郡六戸町大字犬落瀬字堀切沢５９－１０７</t>
    <phoneticPr fontId="9"/>
  </si>
  <si>
    <t>0176-53-4158</t>
  </si>
  <si>
    <t xml:space="preserve"> 033-0001</t>
  </si>
  <si>
    <t>三沢市中央町３－２－１６</t>
    <phoneticPr fontId="9"/>
  </si>
  <si>
    <t>0176-53-2630</t>
    <phoneticPr fontId="9"/>
  </si>
  <si>
    <t>atsushi</t>
    <phoneticPr fontId="9"/>
  </si>
  <si>
    <t>42c359k</t>
    <phoneticPr fontId="9"/>
  </si>
  <si>
    <t>藤林照太郎</t>
    <rPh sb="0" eb="5">
      <t>フジバヤシショウタロウ</t>
    </rPh>
    <phoneticPr fontId="9"/>
  </si>
  <si>
    <t>ﾌｼﾞﾊﾞﾔｼ　ｼｮｳﾀﾛｳ</t>
    <phoneticPr fontId="9"/>
  </si>
  <si>
    <t>036-8222</t>
    <phoneticPr fontId="9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</si>
  <si>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9"/>
  </si>
  <si>
    <t>090-9424-5626</t>
    <phoneticPr fontId="9"/>
  </si>
  <si>
    <t>shotaro</t>
    <phoneticPr fontId="9"/>
  </si>
  <si>
    <t>rV9gzK</t>
    <phoneticPr fontId="9"/>
  </si>
  <si>
    <t xml:space="preserve">細川隆史        </t>
    <phoneticPr fontId="9"/>
  </si>
  <si>
    <t>ﾎｿｶﾜ ﾀｶﾌﾐ</t>
  </si>
  <si>
    <t>十和田眼科クリニック</t>
    <phoneticPr fontId="9"/>
  </si>
  <si>
    <t>十和田市稲生町１５－３６</t>
  </si>
  <si>
    <t>0176-23-4488</t>
  </si>
  <si>
    <t>十和田市稲生町２２－１７</t>
    <phoneticPr fontId="9"/>
  </si>
  <si>
    <t>0176-25-3424</t>
  </si>
  <si>
    <t>takafumi</t>
    <phoneticPr fontId="9"/>
  </si>
  <si>
    <t>z5mtysc</t>
    <phoneticPr fontId="9"/>
  </si>
  <si>
    <t>ま</t>
    <phoneticPr fontId="9"/>
  </si>
  <si>
    <t>前田奈津姫</t>
    <rPh sb="0" eb="2">
      <t>マエダ</t>
    </rPh>
    <rPh sb="2" eb="4">
      <t>ナツ</t>
    </rPh>
    <rPh sb="4" eb="5">
      <t>ヒメ</t>
    </rPh>
    <phoneticPr fontId="9"/>
  </si>
  <si>
    <t>ﾏｴﾀﾞ ﾅﾂｷ</t>
    <phoneticPr fontId="9"/>
  </si>
  <si>
    <t>036-8261</t>
    <phoneticPr fontId="9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</si>
  <si>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9"/>
  </si>
  <si>
    <t>090-2794-9056</t>
    <phoneticPr fontId="9"/>
  </si>
  <si>
    <t>natsuki</t>
    <phoneticPr fontId="9"/>
  </si>
  <si>
    <t>tachineputa</t>
    <phoneticPr fontId="9"/>
  </si>
  <si>
    <t xml:space="preserve">蒔苗順義         </t>
    <phoneticPr fontId="9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</si>
  <si>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</si>
  <si>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</si>
  <si>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</si>
  <si>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</si>
  <si>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</si>
  <si>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9"/>
  </si>
  <si>
    <t>0172-33-9655</t>
  </si>
  <si>
    <t>nobuyoshi</t>
    <phoneticPr fontId="9"/>
  </si>
  <si>
    <t>makanai0119</t>
    <phoneticPr fontId="9"/>
  </si>
  <si>
    <t xml:space="preserve">松橋英昭         </t>
    <phoneticPr fontId="9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</si>
  <si>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</si>
  <si>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</si>
  <si>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</si>
  <si>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</si>
  <si>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</si>
  <si>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</si>
  <si>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</si>
  <si>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9"/>
  </si>
  <si>
    <t>hideaki</t>
    <phoneticPr fontId="9"/>
  </si>
  <si>
    <t>wq8vmn5u</t>
    <phoneticPr fontId="9"/>
  </si>
  <si>
    <t xml:space="preserve">松本光生         </t>
    <phoneticPr fontId="9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</si>
  <si>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</si>
  <si>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</si>
  <si>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</si>
  <si>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</si>
  <si>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</si>
  <si>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</si>
  <si>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</si>
  <si>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</si>
  <si>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9"/>
  </si>
  <si>
    <t>3usdkzw</t>
    <phoneticPr fontId="9"/>
  </si>
  <si>
    <t xml:space="preserve">三上克代         </t>
    <phoneticPr fontId="9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</si>
  <si>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</si>
  <si>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9"/>
  </si>
  <si>
    <t>037-0062</t>
  </si>
  <si>
    <t>五所川原市旭町６５</t>
  </si>
  <si>
    <t>0173-33-0010</t>
  </si>
  <si>
    <t>0173-33-2666</t>
  </si>
  <si>
    <t>katsuyo</t>
    <phoneticPr fontId="9"/>
  </si>
  <si>
    <t>4kwh7er</t>
    <phoneticPr fontId="9"/>
  </si>
  <si>
    <t xml:space="preserve">三上恵一         </t>
    <phoneticPr fontId="9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</si>
  <si>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</si>
  <si>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</si>
  <si>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</si>
  <si>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</si>
  <si>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</si>
  <si>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</si>
  <si>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9"/>
  </si>
  <si>
    <t>shinmachi255858</t>
    <phoneticPr fontId="9"/>
  </si>
  <si>
    <t xml:space="preserve">三上 規         </t>
    <phoneticPr fontId="9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</si>
  <si>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</si>
  <si>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</si>
  <si>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</si>
  <si>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</si>
  <si>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</si>
  <si>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</si>
  <si>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9"/>
  </si>
  <si>
    <t xml:space="preserve">水谷夏子         </t>
    <phoneticPr fontId="9"/>
  </si>
  <si>
    <t>ﾐｽﾞﾀﾆ ﾅﾂｺ</t>
  </si>
  <si>
    <t>みずたに眼科</t>
  </si>
  <si>
    <t>030-0847</t>
  </si>
  <si>
    <t>青森市東大野１－４－１</t>
    <phoneticPr fontId="9"/>
  </si>
  <si>
    <t>017-752-0226</t>
  </si>
  <si>
    <t>030-0846</t>
  </si>
  <si>
    <t>青森市青葉１－２－２３</t>
  </si>
  <si>
    <t>017-739-1662</t>
  </si>
  <si>
    <t>natsukom</t>
    <phoneticPr fontId="9"/>
  </si>
  <si>
    <t>ryuunosuke</t>
    <phoneticPr fontId="9"/>
  </si>
  <si>
    <t xml:space="preserve">水谷英之         </t>
    <phoneticPr fontId="9"/>
  </si>
  <si>
    <t>ﾐｽﾞﾀﾆ ﾋﾃﾞﾕｷ</t>
  </si>
  <si>
    <t>青森市東大野１－４－１</t>
  </si>
  <si>
    <t>hideyuki</t>
    <phoneticPr fontId="9"/>
  </si>
  <si>
    <t>syuntaro</t>
    <phoneticPr fontId="9"/>
  </si>
  <si>
    <t xml:space="preserve">宮川靖博       </t>
    <phoneticPr fontId="9"/>
  </si>
  <si>
    <t>ﾐﾔｶﾞﾜ ﾔｽﾋﾛ</t>
  </si>
  <si>
    <t>浜田みやかわ眼科</t>
    <rPh sb="0" eb="2">
      <t>ハマダ</t>
    </rPh>
    <rPh sb="6" eb="8">
      <t>ガンカ</t>
    </rPh>
    <phoneticPr fontId="9"/>
  </si>
  <si>
    <t>030-0843</t>
    <phoneticPr fontId="9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</si>
  <si>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9"/>
  </si>
  <si>
    <t>017-764-6119</t>
    <phoneticPr fontId="9"/>
  </si>
  <si>
    <t>036-8004</t>
    <phoneticPr fontId="9"/>
  </si>
  <si>
    <t>弘前市大町二丁目１２－４</t>
    <phoneticPr fontId="9"/>
  </si>
  <si>
    <t>0172-26-7399</t>
  </si>
  <si>
    <t>yasuhiro</t>
    <phoneticPr fontId="9"/>
  </si>
  <si>
    <t>mai</t>
    <phoneticPr fontId="9"/>
  </si>
  <si>
    <t>向井亜美</t>
    <rPh sb="0" eb="2">
      <t>ムカイ</t>
    </rPh>
    <rPh sb="2" eb="4">
      <t>アミ</t>
    </rPh>
    <phoneticPr fontId="9"/>
  </si>
  <si>
    <t>ﾑｶｲ　ｱﾐ</t>
    <phoneticPr fontId="9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</si>
  <si>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9"/>
  </si>
  <si>
    <t>弘前市本町５３</t>
    <rPh sb="0" eb="3">
      <t>ヒロサキシ</t>
    </rPh>
    <rPh sb="3" eb="5">
      <t>ホンチョウ</t>
    </rPh>
    <phoneticPr fontId="9"/>
  </si>
  <si>
    <t>036-8197</t>
    <phoneticPr fontId="9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</si>
  <si>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9"/>
  </si>
  <si>
    <t>080-1681-9747</t>
    <phoneticPr fontId="9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</si>
  <si>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9"/>
  </si>
  <si>
    <t>ami</t>
    <phoneticPr fontId="9"/>
  </si>
  <si>
    <t xml:space="preserve">向井田泰子        </t>
    <phoneticPr fontId="9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</si>
  <si>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</si>
  <si>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</si>
  <si>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</si>
  <si>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</si>
  <si>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</si>
  <si>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</si>
  <si>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</si>
  <si>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9"/>
  </si>
  <si>
    <t>g5wjb3</t>
    <phoneticPr fontId="9"/>
  </si>
  <si>
    <t xml:space="preserve">目時友美         </t>
    <phoneticPr fontId="9"/>
  </si>
  <si>
    <t>ﾒﾄｷ ﾄﾓﾐ</t>
  </si>
  <si>
    <t>めとき眼科クリニック</t>
    <rPh sb="3" eb="5">
      <t>ガンカ</t>
    </rPh>
    <phoneticPr fontId="9"/>
  </si>
  <si>
    <t>036-8046</t>
    <phoneticPr fontId="9"/>
  </si>
  <si>
    <t>弘前市北横町５０番地１</t>
    <rPh sb="3" eb="6">
      <t>キタヨコチョウ</t>
    </rPh>
    <rPh sb="8" eb="10">
      <t>バンチ</t>
    </rPh>
    <phoneticPr fontId="9"/>
  </si>
  <si>
    <t>0172-40-0691</t>
    <phoneticPr fontId="9"/>
  </si>
  <si>
    <t>036-8364</t>
  </si>
  <si>
    <t>弘前市新町６１</t>
  </si>
  <si>
    <t>0172-35-0895</t>
    <phoneticPr fontId="9"/>
  </si>
  <si>
    <t>tomomim</t>
    <phoneticPr fontId="9"/>
  </si>
  <si>
    <t>tabletennis</t>
    <phoneticPr fontId="9"/>
  </si>
  <si>
    <t>盛泰子</t>
    <rPh sb="0" eb="1">
      <t>モ</t>
    </rPh>
    <rPh sb="1" eb="3">
      <t>ヤスコ</t>
    </rPh>
    <phoneticPr fontId="9"/>
  </si>
  <si>
    <t>ﾓﾘ ﾀｲｺ</t>
    <phoneticPr fontId="9"/>
  </si>
  <si>
    <t>017271</t>
    <phoneticPr fontId="9"/>
  </si>
  <si>
    <t>医療法人マルモ　伊藤眼科クリニック</t>
    <rPh sb="0" eb="4">
      <t>イリョウホウジン</t>
    </rPh>
    <rPh sb="8" eb="12">
      <t>イトウガンカ</t>
    </rPh>
    <phoneticPr fontId="9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</si>
  <si>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9"/>
  </si>
  <si>
    <t>017-718-5258</t>
    <phoneticPr fontId="9"/>
  </si>
  <si>
    <t>030-0822</t>
    <phoneticPr fontId="9"/>
  </si>
  <si>
    <t>青森市中央４－１２－１３</t>
    <rPh sb="0" eb="3">
      <t>アオモリシ</t>
    </rPh>
    <rPh sb="3" eb="5">
      <t>チュウオウ</t>
    </rPh>
    <phoneticPr fontId="9"/>
  </si>
  <si>
    <t>090-7567‐3128</t>
    <phoneticPr fontId="9"/>
  </si>
  <si>
    <t>R6年3月BからAへ、開業</t>
    <rPh sb="2" eb="3">
      <t>ネン</t>
    </rPh>
    <rPh sb="4" eb="5">
      <t>ガツ</t>
    </rPh>
    <rPh sb="11" eb="13">
      <t>カイギョウ</t>
    </rPh>
    <phoneticPr fontId="9"/>
  </si>
  <si>
    <t>taiko</t>
    <phoneticPr fontId="9"/>
  </si>
  <si>
    <t>okinawadaisuki</t>
    <phoneticPr fontId="9"/>
  </si>
  <si>
    <t>や</t>
    <phoneticPr fontId="9"/>
  </si>
  <si>
    <t>谷田 遥佳</t>
    <rPh sb="0" eb="2">
      <t>タニダ</t>
    </rPh>
    <rPh sb="3" eb="4">
      <t>ハルカ</t>
    </rPh>
    <rPh sb="4" eb="5">
      <t>カ</t>
    </rPh>
    <phoneticPr fontId="9"/>
  </si>
  <si>
    <t>ﾔﾂﾀﾞ ﾊﾙｶ</t>
    <phoneticPr fontId="9"/>
  </si>
  <si>
    <t>弘前大学医学部附属病院</t>
    <rPh sb="0" eb="11">
      <t>ヒロサキダイガクイガクブフゾクビョウイン</t>
    </rPh>
    <phoneticPr fontId="9"/>
  </si>
  <si>
    <t>青森県弘前市本町５３</t>
    <rPh sb="0" eb="6">
      <t>アオモリケンヒロサキシ</t>
    </rPh>
    <rPh sb="6" eb="8">
      <t>ホンマチ</t>
    </rPh>
    <phoneticPr fontId="9"/>
  </si>
  <si>
    <t>青森県弘前市在府町76－2アレーズ１０５</t>
    <rPh sb="0" eb="6">
      <t>アオモリケンヒロサキシ</t>
    </rPh>
    <rPh sb="6" eb="9">
      <t>ザイフチョウ</t>
    </rPh>
    <phoneticPr fontId="9"/>
  </si>
  <si>
    <t>080-7238-0699</t>
    <phoneticPr fontId="9"/>
  </si>
  <si>
    <t>yacchig0d4i3s7w@yahoo.co.jp</t>
    <phoneticPr fontId="9"/>
  </si>
  <si>
    <t>harukaya</t>
    <phoneticPr fontId="9"/>
  </si>
  <si>
    <t>cH8q6d</t>
  </si>
  <si>
    <t>山内宏大</t>
    <rPh sb="0" eb="2">
      <t>ヤマウチ</t>
    </rPh>
    <rPh sb="2" eb="3">
      <t>ヒロ</t>
    </rPh>
    <rPh sb="3" eb="4">
      <t>ダイ</t>
    </rPh>
    <phoneticPr fontId="9"/>
  </si>
  <si>
    <t>ﾔﾏｳﾁ ｺｳﾀﾞｲ</t>
    <phoneticPr fontId="9"/>
  </si>
  <si>
    <t>038-1311</t>
    <phoneticPr fontId="9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</si>
  <si>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9"/>
  </si>
  <si>
    <t>090-6455-5757</t>
    <phoneticPr fontId="9"/>
  </si>
  <si>
    <t>koudai</t>
    <phoneticPr fontId="9"/>
  </si>
  <si>
    <t>namioka</t>
    <phoneticPr fontId="9"/>
  </si>
  <si>
    <t xml:space="preserve">山上 潔        </t>
    <phoneticPr fontId="9"/>
  </si>
  <si>
    <t>ﾔﾏｶﾞﾐ ｷﾖｼ</t>
  </si>
  <si>
    <t>山上きよし眼科</t>
  </si>
  <si>
    <t>030-0813</t>
  </si>
  <si>
    <t>青森市松原３－９－５２</t>
    <phoneticPr fontId="9"/>
  </si>
  <si>
    <t>017-721-1160</t>
  </si>
  <si>
    <t>青森市松原２－１１－５</t>
    <phoneticPr fontId="9"/>
  </si>
  <si>
    <t>017-774-5781</t>
  </si>
  <si>
    <t>kiyoshi</t>
    <phoneticPr fontId="9"/>
  </si>
  <si>
    <t>takumamasako</t>
    <phoneticPr fontId="9"/>
  </si>
  <si>
    <t xml:space="preserve">山上美情子     </t>
    <phoneticPr fontId="9"/>
  </si>
  <si>
    <t>ﾔﾏｶﾞﾐ ﾐﾅｺ</t>
  </si>
  <si>
    <t>やまがみ眼科</t>
  </si>
  <si>
    <t>030-0861</t>
  </si>
  <si>
    <t>青森市長島２－１－１４　青森クリニックビル３Ｆ</t>
    <phoneticPr fontId="9"/>
  </si>
  <si>
    <t>017-775-9220</t>
  </si>
  <si>
    <t xml:space="preserve"> 030-0813</t>
  </si>
  <si>
    <t>017-723-6641</t>
    <phoneticPr fontId="9"/>
  </si>
  <si>
    <t>minako</t>
    <phoneticPr fontId="9"/>
  </si>
  <si>
    <t>matsubara2115</t>
    <phoneticPr fontId="9"/>
  </si>
  <si>
    <t xml:space="preserve">山崎仁志         </t>
    <phoneticPr fontId="9"/>
  </si>
  <si>
    <t>ﾔﾏｻﾞｷ ﾋﾄｼ</t>
  </si>
  <si>
    <t>山崎眼科</t>
    <rPh sb="0" eb="2">
      <t>ヤマザキ</t>
    </rPh>
    <phoneticPr fontId="9"/>
  </si>
  <si>
    <t>039-1169</t>
  </si>
  <si>
    <t>八戸市日計１－２－４４</t>
  </si>
  <si>
    <t>0178-28-5000</t>
  </si>
  <si>
    <t>031-0073</t>
    <phoneticPr fontId="9"/>
  </si>
  <si>
    <t>八戸市売市1丁目10-13</t>
    <rPh sb="3" eb="5">
      <t>ウルイチ</t>
    </rPh>
    <rPh sb="6" eb="8">
      <t>チョウメ</t>
    </rPh>
    <phoneticPr fontId="9"/>
  </si>
  <si>
    <t>0178-20-3308</t>
  </si>
  <si>
    <t>hitoshiy</t>
    <phoneticPr fontId="9"/>
  </si>
  <si>
    <t>4wbjp2d</t>
    <phoneticPr fontId="9"/>
  </si>
  <si>
    <t>山邊佑樹</t>
    <rPh sb="0" eb="2">
      <t>ヤマベ</t>
    </rPh>
    <rPh sb="2" eb="4">
      <t>ユウキ</t>
    </rPh>
    <phoneticPr fontId="9"/>
  </si>
  <si>
    <t>ﾔﾏﾍﾞ ﾕｳｷ</t>
    <phoneticPr fontId="9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</si>
  <si>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9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</si>
  <si>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9"/>
  </si>
  <si>
    <t>090-7320-7165</t>
    <phoneticPr fontId="9"/>
  </si>
  <si>
    <t>yamabey14@gmail.com</t>
    <phoneticPr fontId="9"/>
  </si>
  <si>
    <t xml:space="preserve">yuki </t>
    <phoneticPr fontId="9"/>
  </si>
  <si>
    <t>m4Frit</t>
    <phoneticPr fontId="9"/>
  </si>
  <si>
    <t xml:space="preserve">横井由美子        </t>
    <phoneticPr fontId="9"/>
  </si>
  <si>
    <t>ﾖｺｲ ﾕﾐｺ</t>
  </si>
  <si>
    <t>039-1107</t>
    <phoneticPr fontId="9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</si>
  <si>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9"/>
  </si>
  <si>
    <t>0178-27-0095</t>
    <phoneticPr fontId="9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</si>
  <si>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9"/>
  </si>
  <si>
    <t>yumiko</t>
    <phoneticPr fontId="9"/>
  </si>
  <si>
    <t>d4fh23y</t>
    <phoneticPr fontId="9"/>
  </si>
  <si>
    <t xml:space="preserve">吉田恒一         </t>
    <phoneticPr fontId="9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</si>
  <si>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</si>
  <si>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</si>
  <si>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</si>
  <si>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</si>
  <si>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</si>
  <si>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</si>
  <si>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9"/>
  </si>
  <si>
    <t>0172-35-2848</t>
  </si>
  <si>
    <t>koichi</t>
    <phoneticPr fontId="9"/>
  </si>
  <si>
    <t>daicon0117</t>
    <phoneticPr fontId="9"/>
  </si>
  <si>
    <t>わ</t>
    <phoneticPr fontId="9"/>
  </si>
  <si>
    <t>若栗隆志</t>
    <phoneticPr fontId="9"/>
  </si>
  <si>
    <t>ﾜｶｸﾘ ﾀｶｼ</t>
    <phoneticPr fontId="9"/>
  </si>
  <si>
    <t>033-0031</t>
    <phoneticPr fontId="9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</si>
  <si>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9"/>
  </si>
  <si>
    <t>090-8346-4784</t>
    <phoneticPr fontId="9"/>
  </si>
  <si>
    <t>takashiw</t>
    <phoneticPr fontId="9"/>
  </si>
  <si>
    <t>全会員の構成</t>
    <rPh sb="0" eb="3">
      <t>ゼンカイイン</t>
    </rPh>
    <rPh sb="4" eb="6">
      <t>コウセイ</t>
    </rPh>
    <phoneticPr fontId="9"/>
  </si>
  <si>
    <t>男性</t>
    <rPh sb="0" eb="2">
      <t>ダンセイ</t>
    </rPh>
    <phoneticPr fontId="9"/>
  </si>
  <si>
    <t>女性</t>
    <rPh sb="0" eb="2">
      <t>ジョセイ</t>
    </rPh>
    <phoneticPr fontId="9"/>
  </si>
  <si>
    <t>全会員</t>
    <rPh sb="0" eb="3">
      <t>ゼンカイイン</t>
    </rPh>
    <phoneticPr fontId="9"/>
  </si>
  <si>
    <t>30代以下の</t>
    <rPh sb="2" eb="3">
      <t>ダイ</t>
    </rPh>
    <rPh sb="3" eb="5">
      <t>イカ</t>
    </rPh>
    <phoneticPr fontId="9"/>
  </si>
  <si>
    <t>40代の</t>
    <rPh sb="2" eb="3">
      <t>ダイ</t>
    </rPh>
    <phoneticPr fontId="9"/>
  </si>
  <si>
    <t>50代の</t>
    <rPh sb="2" eb="3">
      <t>ダイ</t>
    </rPh>
    <phoneticPr fontId="9"/>
  </si>
  <si>
    <t>60代の</t>
    <rPh sb="2" eb="3">
      <t>ダイ</t>
    </rPh>
    <phoneticPr fontId="9"/>
  </si>
  <si>
    <t>70歳以上の</t>
    <rPh sb="2" eb="5">
      <t>サイイジョウ</t>
    </rPh>
    <rPh sb="3" eb="5">
      <t>イジョウ</t>
    </rPh>
    <phoneticPr fontId="9"/>
  </si>
  <si>
    <t>役員</t>
    <rPh sb="0" eb="2">
      <t>ヤクイン</t>
    </rPh>
    <phoneticPr fontId="9"/>
  </si>
  <si>
    <t>A会員</t>
    <rPh sb="1" eb="3">
      <t>カイイン</t>
    </rPh>
    <phoneticPr fontId="9"/>
  </si>
  <si>
    <t>B会員</t>
    <rPh sb="1" eb="3">
      <t>カイイン</t>
    </rPh>
    <phoneticPr fontId="9"/>
  </si>
  <si>
    <t>C会員</t>
    <rPh sb="1" eb="3">
      <t>カイイン</t>
    </rPh>
    <phoneticPr fontId="9"/>
  </si>
  <si>
    <t>D会員</t>
    <rPh sb="1" eb="3">
      <t>カイイン</t>
    </rPh>
    <phoneticPr fontId="9"/>
  </si>
  <si>
    <t>会費免除会員</t>
    <rPh sb="0" eb="2">
      <t>カイヒ</t>
    </rPh>
    <rPh sb="2" eb="4">
      <t>メンジョ</t>
    </rPh>
    <rPh sb="4" eb="6">
      <t>カイイン</t>
    </rPh>
    <phoneticPr fontId="9"/>
  </si>
  <si>
    <t>会費納入状況</t>
    <phoneticPr fontId="9"/>
  </si>
  <si>
    <t>列3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</si>
  <si>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</si>
  <si>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takahashi-ganka@nifty.com</t>
    <phoneticPr fontId="19"/>
  </si>
  <si>
    <t>namitaka@f2.dion.ne.jp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</si>
  <si>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</si>
  <si>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</si>
  <si>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9"/>
  </si>
  <si>
    <t>このxlsmファイルのなかで定義されたSubとFunctionの一覧を作ってワークシートに出力する機能があります。</t>
  </si>
  <si>
    <t>Main</t>
  </si>
  <si>
    <t>会費納入のお願いを作成</t>
  </si>
  <si>
    <t>Public</t>
  </si>
  <si>
    <t>Sub</t>
  </si>
  <si>
    <t>Public Sub Main()</t>
  </si>
  <si>
    <t/>
  </si>
  <si>
    <t>StartsWith</t>
  </si>
  <si>
    <t>Function</t>
  </si>
  <si>
    <t>Public Function StartsWith(target_str As String, search_str As String) As Boolean</t>
  </si>
  <si>
    <t>Standard</t>
  </si>
  <si>
    <t>PleasePayFeeLetter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</si>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</sst>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u/>
      <sz val="11"/>
      <color theme="10"/>
      <name val="Calibri"/>
      <family val="2"/>
      <charset val="128"/>
      <scheme val="minor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Yu Gothic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7">
    <xf numFmtId="0" fontId="0" fillId="0" borderId="0"/>
    <xf numFmtId="0" fontId="5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15" fillId="0" borderId="3" xfId="2" applyBorder="1">
      <alignment vertical="center"/>
    </xf>
    <xf numFmtId="0" fontId="15" fillId="0" borderId="2" xfId="2" applyBorder="1">
      <alignment vertical="center"/>
    </xf>
    <xf numFmtId="0" fontId="15" fillId="0" borderId="1" xfId="2" applyBorder="1">
      <alignment vertical="center"/>
    </xf>
    <xf numFmtId="0" fontId="1" fillId="0" borderId="0" xfId="6">
      <alignment vertical="center"/>
    </xf>
    <xf numFmtId="0" fontId="8" fillId="0" borderId="0" xfId="6" applyFont="1" applyAlignment="1">
      <alignment horizontal="left" vertical="center"/>
    </xf>
    <xf numFmtId="14" fontId="1" fillId="0" borderId="0" xfId="6" applyNumberFormat="1">
      <alignment vertical="center"/>
    </xf>
    <xf numFmtId="0" fontId="1" fillId="0" borderId="0" xfId="6" applyAlignment="1">
      <alignment horizontal="center" vertical="center"/>
    </xf>
    <xf numFmtId="0" fontId="1" fillId="0" borderId="1" xfId="6" applyBorder="1" applyAlignment="1">
      <alignment horizontal="center" vertical="center"/>
    </xf>
    <xf numFmtId="0" fontId="1" fillId="0" borderId="1" xfId="6" applyBorder="1" applyAlignment="1">
      <alignment horizontal="center" vertical="center" wrapText="1"/>
    </xf>
    <xf numFmtId="0" fontId="1" fillId="0" borderId="2" xfId="6" applyBorder="1" applyAlignment="1">
      <alignment horizontal="center" vertical="center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/>
    </xf>
    <xf numFmtId="0" fontId="1" fillId="0" borderId="1" xfId="6" applyBorder="1">
      <alignment vertical="center"/>
    </xf>
    <xf numFmtId="0" fontId="10" fillId="0" borderId="1" xfId="6" applyFont="1" applyBorder="1" applyAlignment="1">
      <alignment horizontal="center" vertical="center"/>
    </xf>
    <xf numFmtId="14" fontId="1" fillId="0" borderId="1" xfId="6" applyNumberFormat="1" applyBorder="1">
      <alignment vertical="center"/>
    </xf>
    <xf numFmtId="14" fontId="11" fillId="0" borderId="1" xfId="6" applyNumberFormat="1" applyFont="1" applyBorder="1" applyAlignment="1">
      <alignment horizontal="right" vertical="center"/>
    </xf>
    <xf numFmtId="0" fontId="12" fillId="0" borderId="1" xfId="6" applyFont="1" applyBorder="1" applyAlignment="1">
      <alignment horizontal="center" vertical="center"/>
    </xf>
    <xf numFmtId="49" fontId="1" fillId="0" borderId="1" xfId="6" applyNumberFormat="1" applyBorder="1">
      <alignment vertical="center"/>
    </xf>
    <xf numFmtId="0" fontId="1" fillId="0" borderId="1" xfId="6" applyBorder="1" applyAlignment="1">
      <alignment vertical="center" wrapText="1"/>
    </xf>
    <xf numFmtId="0" fontId="1" fillId="0" borderId="1" xfId="6" applyBorder="1" applyAlignment="1">
      <alignment horizontal="left" vertical="center"/>
    </xf>
    <xf numFmtId="0" fontId="1" fillId="0" borderId="2" xfId="6" applyBorder="1">
      <alignment vertical="center"/>
    </xf>
    <xf numFmtId="0" fontId="1" fillId="0" borderId="3" xfId="6" applyBorder="1">
      <alignment vertical="center"/>
    </xf>
    <xf numFmtId="0" fontId="7" fillId="0" borderId="1" xfId="6" applyFont="1" applyBorder="1" applyAlignment="1">
      <alignment horizontal="center" vertical="center"/>
    </xf>
    <xf numFmtId="49" fontId="13" fillId="0" borderId="1" xfId="6" applyNumberFormat="1" applyFont="1" applyBorder="1" applyProtection="1">
      <alignment vertical="center"/>
      <protection locked="0"/>
    </xf>
    <xf numFmtId="0" fontId="13" fillId="0" borderId="4" xfId="6" applyFont="1" applyBorder="1" applyAlignment="1" applyProtection="1">
      <alignment vertical="center" wrapText="1"/>
      <protection locked="0"/>
    </xf>
    <xf numFmtId="0" fontId="13" fillId="0" borderId="1" xfId="6" applyFont="1" applyBorder="1" applyProtection="1">
      <alignment vertical="center"/>
      <protection locked="0"/>
    </xf>
    <xf numFmtId="0" fontId="20" fillId="0" borderId="3" xfId="6" applyFont="1" applyBorder="1">
      <alignment vertical="center"/>
    </xf>
    <xf numFmtId="0" fontId="1" fillId="2" borderId="0" xfId="6" applyFill="1">
      <alignment vertical="center"/>
    </xf>
    <xf numFmtId="0" fontId="15" fillId="0" borderId="0" xfId="2">
      <alignment vertical="center"/>
    </xf>
    <xf numFmtId="0" fontId="7" fillId="0" borderId="1" xfId="6" applyFont="1" applyBorder="1">
      <alignment vertical="center"/>
    </xf>
    <xf numFmtId="0" fontId="10" fillId="0" borderId="1" xfId="6" applyFont="1" applyBorder="1">
      <alignment vertical="center"/>
    </xf>
    <xf numFmtId="0" fontId="10" fillId="0" borderId="1" xfId="6" applyFont="1" applyBorder="1" applyAlignment="1">
      <alignment vertical="center" wrapText="1"/>
    </xf>
    <xf numFmtId="0" fontId="1" fillId="0" borderId="1" xfId="6" quotePrefix="1" applyBorder="1">
      <alignment vertical="center"/>
    </xf>
    <xf numFmtId="0" fontId="1" fillId="0" borderId="0" xfId="6" quotePrefix="1">
      <alignment vertical="center"/>
    </xf>
    <xf numFmtId="0" fontId="16" fillId="0" borderId="1" xfId="6" applyFont="1" applyBorder="1" applyAlignment="1">
      <alignment horizontal="center" vertical="center"/>
    </xf>
    <xf numFmtId="0" fontId="17" fillId="0" borderId="1" xfId="6" applyFont="1" applyBorder="1" applyAlignment="1">
      <alignment horizontal="center" vertical="center"/>
    </xf>
    <xf numFmtId="0" fontId="18" fillId="0" borderId="5" xfId="6" applyFont="1" applyBorder="1" applyAlignment="1" applyProtection="1">
      <alignment vertical="center" wrapText="1"/>
      <protection locked="0"/>
    </xf>
    <xf numFmtId="0" fontId="18" fillId="0" borderId="1" xfId="6" applyFont="1" applyBorder="1" applyProtection="1">
      <alignment vertical="center"/>
      <protection locked="0"/>
    </xf>
    <xf numFmtId="0" fontId="1" fillId="0" borderId="2" xfId="6" applyBorder="1" applyAlignment="1">
      <alignment vertical="center" wrapText="1"/>
    </xf>
    <xf numFmtId="0" fontId="1" fillId="0" borderId="0" xfId="6" applyAlignment="1">
      <alignment horizontal="left" vertical="center"/>
    </xf>
    <xf numFmtId="0" fontId="15" fillId="0" borderId="0" xfId="2" applyAlignment="1" applyProtection="1">
      <alignment vertical="center"/>
    </xf>
    <xf numFmtId="0" fontId="1" fillId="0" borderId="0" xfId="6" applyAlignment="1">
      <alignment vertical="center" wrapText="1"/>
    </xf>
    <xf numFmtId="14" fontId="1" fillId="0" borderId="1" xfId="6" applyNumberFormat="1" applyBorder="1" applyAlignment="1">
      <alignment horizontal="right" vertical="center"/>
    </xf>
    <xf numFmtId="14" fontId="11" fillId="0" borderId="0" xfId="6" applyNumberFormat="1" applyFont="1" applyAlignment="1">
      <alignment horizontal="right" vertical="center"/>
    </xf>
    <xf numFmtId="0" fontId="12" fillId="0" borderId="0" xfId="6" applyFont="1" applyAlignment="1">
      <alignment horizontal="center" vertical="center"/>
    </xf>
    <xf numFmtId="49" fontId="1" fillId="0" borderId="0" xfId="6" applyNumberFormat="1">
      <alignment vertical="center"/>
    </xf>
    <xf numFmtId="0" fontId="0" fillId="3" borderId="0" xfId="0" applyFill="1"/>
    <xf numFmtId="0" fontId="0" fillId="0" borderId="0" xfId="0" quotePrefix="1"/>
  </cellXfs>
  <cellStyles count="7">
    <cellStyle name="ハイパーリンク 2" xfId="2" xr:uid="{DA5EACA8-F264-4307-9E51-38BB2DD0BADE}"/>
    <cellStyle name="標準" xfId="0" builtinId="0"/>
    <cellStyle name="標準 2" xfId="1" xr:uid="{E332AA05-CFA7-479B-8242-3672683AC95D}"/>
    <cellStyle name="標準 3" xfId="3" xr:uid="{5DAB3A5F-0271-4BBC-BDB5-04BDA3FE88D5}"/>
    <cellStyle name="標準 4" xfId="4" xr:uid="{11CD901F-6561-4E4A-ABD9-A7879E296999}"/>
    <cellStyle name="標準 5" xfId="5" xr:uid="{03DB39DC-2FF5-404B-88D2-A1D78ED48260}"/>
    <cellStyle name="標準 6" xfId="6" xr:uid="{A0CB0CB7-AF88-40A4-85BF-FA87AC2E9F27}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641350</xdr:colOff>
          <xdr:row>8</xdr:row>
          <xdr:rowOff>209550</xdr:rowOff>
        </xdr:from>
        <xdr:to>
          <xdr:col>7</xdr:col>
          <xdr:colOff>12700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「会費納入のお願い」を作成する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15</xdr:row>
          <xdr:rowOff>0</xdr:rowOff>
        </xdr:from>
        <xdr:to>
          <xdr:col>7</xdr:col>
          <xdr:colOff>6350</xdr:colOff>
          <xdr:row>17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プロシージャー一覧を作る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384D66-D2D2-4F2E-A046-47897F9828DC}" name="MembersTable13" displayName="MembersTable13" ref="A3:AC111" totalsRowShown="0">
  <autoFilter ref="A3:AC111" xr:uid="{75173448-86B2-4C27-B622-E6020505DB66}"/>
  <tableColumns count="29">
    <tableColumn id="1" xr3:uid="{A74E6BDF-192D-496A-B641-D0A3459A9D6D}" name="列1" dataDxfId="5"/>
    <tableColumn id="2" xr3:uid="{76E7B061-FE37-4B99-A812-9EEB784CDCB0}" name="列2" dataDxfId="4">
      <calculatedColumnFormula>B3+1</calculatedColumnFormula>
    </tableColumn>
    <tableColumn id="3" xr3:uid="{EAF5D900-049D-405E-9B19-7C2AB27805E4}" name="氏名"/>
    <tableColumn id="4" xr3:uid="{74679AD2-0610-431D-91BF-BABD45A61B8E}" name="氏名カナ"/>
    <tableColumn id="5" xr3:uid="{78512B49-CAD3-463B-91D3-3BE44711B395}" name="性別"/>
    <tableColumn id="6" xr3:uid="{B286232F-635F-47C4-9A54-B2B6B961AC22}" name="生年月日"/>
    <tableColumn id="7" xr3:uid="{23AE4B23-C643-4A3B-8EA6-CE3F4A0A0B1D}" name="生年月日3" dataDxfId="3"/>
    <tableColumn id="8" xr3:uid="{73EFFC00-CBAC-41B9-9E6D-146C89491FE2}" name="年齢">
      <calculatedColumnFormula>DATEDIF(F4,M$1,"Y")</calculatedColumnFormula>
    </tableColumn>
    <tableColumn id="9" xr3:uid="{2D10528A-70ED-420E-9CED-7EBEA7372EA9}" name="医籍_x000a_登録番号"/>
    <tableColumn id="10" xr3:uid="{C6E1F171-F37A-46C1-9B8C-4974D87BD407}" name="医籍_x000a_登録日"/>
    <tableColumn id="11" xr3:uid="{341805AA-8148-44F8-8174-14212B248267}" name="日眼医_x000a_登録日"/>
    <tableColumn id="24" xr3:uid="{CDA48A4D-0FCC-465F-B402-A0968655AEE3}" name="専門医_x000a_登録No" dataDxfId="2"/>
    <tableColumn id="12" xr3:uid="{755F798B-7401-4E20-A338-5F4F46A3971D}" name="勤務先名"/>
    <tableColumn id="13" xr3:uid="{DFE49B2A-70BB-4C02-96B5-74FD2A3BE684}" name="勤務先〒"/>
    <tableColumn id="14" xr3:uid="{DB0729E1-C487-42A4-BA66-36E17FF28F65}" name="勤務先住所" dataDxfId="1"/>
    <tableColumn id="15" xr3:uid="{3D05527E-148F-4AB8-B286-4354F3D14DED}" name="勤務先_x000a_電話番号"/>
    <tableColumn id="16" xr3:uid="{C19AA902-2AEA-405B-96AE-89EB275C2B75}" name="自宅〒"/>
    <tableColumn id="17" xr3:uid="{A19B5356-EFC2-4CEF-B05B-A0FB450B268A}" name="自宅住所" dataDxfId="0"/>
    <tableColumn id="18" xr3:uid="{45C6E56F-ABE5-4B7B-A0C6-A0788F105243}" name="自宅_x000a_電話番号"/>
    <tableColumn id="19" xr3:uid="{01589392-ADC4-4AB2-8EEA-11CA9BC4370B}" name="携帯番号"/>
    <tableColumn id="25" xr3:uid="{EA791A6E-85FC-4FDC-B858-545B6451E839}" name="email"/>
    <tableColumn id="23" xr3:uid="{D4A7AC53-A4E0-485D-BF53-E04B2D779D79}" name="役"/>
    <tableColumn id="20" xr3:uid="{D541F6EF-AA70-4382-AC68-BB90420C39F2}" name="資格"/>
    <tableColumn id="21" xr3:uid="{6B784391-1D46-4AB5-B74E-D928C7FD6D36}" name="異動"/>
    <tableColumn id="22" xr3:uid="{FFA9110A-8E9C-4DFE-AB48-A751B9DF748C}" name="青森県眼科医会入会年月"/>
    <tableColumn id="26" xr3:uid="{82F4E4FE-5773-4A05-8783-8E4A9CFFF5A5}" name="HPのID"/>
    <tableColumn id="27" xr3:uid="{BEC30E4E-55DA-4D38-B323-51021AE35886}" name="HPのパスワード"/>
    <tableColumn id="28" xr3:uid="{1E8D054F-4246-4D6A-A2FA-7F7E7BD956FF}" name="列3"/>
    <tableColumn id="30" xr3:uid="{0C5A27B8-9978-4E8F-BD9F-EA45EC6BD296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553EB-07BC-4E30-8DD8-8D49AC0BCB1E}">
  <sheetPr codeName="Sheet2"/>
  <dimension ref="A1:A15"/>
  <sheetViews>
    <sheetView workbookViewId="0">
      <selection activeCell="A22" sqref="A22"/>
    </sheetView>
  </sheetViews>
  <sheetFormatPr defaultRowHeight="14.5"/>
  <cols>
    <col min="1" max="1" width="114.81640625" bestFit="1" customWidth="1"/>
  </cols>
  <sheetData>
    <row r="1" spans="1:1">
      <c r="A1" t="s">
        <v>8</v>
      </c>
    </row>
    <row r="3" spans="1:1">
      <c r="A3" t="s">
        <v>7</v>
      </c>
    </row>
    <row r="4" spans="1:1">
      <c r="A4" t="s">
        <v>9</v>
      </c>
    </row>
    <row r="5" spans="1:1">
      <c r="A5" t="s">
        <v>10</v>
      </c>
    </row>
    <row r="6" spans="1:1">
      <c r="A6" t="s">
        <v>11</v>
      </c>
    </row>
    <row r="7" spans="1:1">
      <c r="A7" t="s">
        <v>12</v>
      </c>
    </row>
    <row r="8" spans="1:1">
      <c r="A8" t="s">
        <v>13</v>
      </c>
    </row>
    <row r="15" spans="1:1">
      <c r="A15" t="s">
        <v>1064</v>
      </c>
    </row>
  </sheetData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0</xdr:col>
                    <xdr:colOff>641350</xdr:colOff>
                    <xdr:row>8</xdr:row>
                    <xdr:rowOff>209550</xdr:rowOff>
                  </from>
                  <to>
                    <xdr:col>7</xdr:col>
                    <xdr:colOff>12700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プロシージャー一覧を作る.プロシージャー一覧を作る">
                <anchor moveWithCells="1" sizeWithCells="1">
                  <from>
                    <xdr:col>1</xdr:col>
                    <xdr:colOff>6350</xdr:colOff>
                    <xdr:row>15</xdr:row>
                    <xdr:rowOff>0</xdr:rowOff>
                  </from>
                  <to>
                    <xdr:col>7</xdr:col>
                    <xdr:colOff>6350</xdr:colOff>
                    <xdr:row>17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A13" sqref="A13"/>
    </sheetView>
  </sheetViews>
  <sheetFormatPr defaultRowHeight="14.5"/>
  <cols>
    <col min="1" max="1" width="38.1796875" bestFit="1" customWidth="1"/>
    <col min="2" max="2" width="95.36328125" bestFit="1" customWidth="1"/>
    <col min="3" max="3" width="51.453125" bestFit="1" customWidth="1"/>
  </cols>
  <sheetData>
    <row r="2" spans="1:3">
      <c r="A2" t="s">
        <v>0</v>
      </c>
      <c r="B2" t="s">
        <v>1</v>
      </c>
    </row>
    <row r="3" spans="1:3">
      <c r="A3" t="s">
        <v>2</v>
      </c>
      <c r="B3" t="s">
        <v>3</v>
      </c>
    </row>
    <row r="4" spans="1:3">
      <c r="A4" t="s">
        <v>4</v>
      </c>
      <c r="B4" t="s">
        <v>5</v>
      </c>
      <c r="C4" t="s">
        <v>6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B9E66-2D07-4ADF-AB63-6DDD256D1114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AE20" sqref="AE20"/>
    </sheetView>
  </sheetViews>
  <sheetFormatPr defaultColWidth="8.6328125" defaultRowHeight="14.5"/>
  <cols>
    <col min="1" max="1" width="5.36328125" style="4" customWidth="1"/>
    <col min="2" max="2" width="5.08984375" style="4" customWidth="1"/>
    <col min="3" max="3" width="15.453125" style="4" bestFit="1" customWidth="1"/>
    <col min="4" max="4" width="15.36328125" style="4" bestFit="1" customWidth="1"/>
    <col min="5" max="5" width="6.453125" style="4" customWidth="1"/>
    <col min="6" max="6" width="11.08984375" style="4" customWidth="1"/>
    <col min="7" max="7" width="16.90625" style="4" bestFit="1" customWidth="1"/>
    <col min="8" max="8" width="9.1796875" style="4" hidden="1" customWidth="1"/>
    <col min="9" max="9" width="11.453125" style="4" bestFit="1" customWidth="1"/>
    <col min="10" max="11" width="11.08984375" style="4" bestFit="1" customWidth="1"/>
    <col min="12" max="12" width="10.90625" style="4" customWidth="1"/>
    <col min="13" max="13" width="22.1796875" style="4" customWidth="1"/>
    <col min="14" max="14" width="9.7265625" style="4" customWidth="1"/>
    <col min="15" max="15" width="23.08984375" style="4" customWidth="1"/>
    <col min="16" max="16" width="12.453125" style="4" customWidth="1"/>
    <col min="17" max="17" width="11.08984375" style="4" bestFit="1" customWidth="1"/>
    <col min="18" max="18" width="32.6328125" style="4" customWidth="1"/>
    <col min="19" max="19" width="13.453125" style="4" bestFit="1" customWidth="1"/>
    <col min="20" max="20" width="8.90625" style="4" customWidth="1"/>
    <col min="21" max="21" width="9.6328125" style="4" customWidth="1"/>
    <col min="22" max="22" width="7.08984375" style="4" customWidth="1"/>
    <col min="23" max="23" width="9.1796875" style="4" bestFit="1" customWidth="1"/>
    <col min="24" max="25" width="0.7265625" style="4" hidden="1" customWidth="1"/>
    <col min="26" max="26" width="9.453125" style="4" bestFit="1" customWidth="1"/>
    <col min="27" max="27" width="16.81640625" style="4" bestFit="1" customWidth="1"/>
    <col min="28" max="28" width="8.6328125" style="4"/>
    <col min="29" max="29" width="10.453125" style="4" bestFit="1" customWidth="1"/>
    <col min="30" max="16384" width="8.6328125" style="4"/>
  </cols>
  <sheetData>
    <row r="1" spans="1:29" ht="18.5">
      <c r="B1" s="5" t="s">
        <v>14</v>
      </c>
      <c r="M1" s="6">
        <f ca="1">TODAY()</f>
        <v>45520</v>
      </c>
      <c r="N1" s="4" t="s">
        <v>15</v>
      </c>
    </row>
    <row r="3" spans="1:29" ht="29">
      <c r="A3" s="7" t="s">
        <v>16</v>
      </c>
      <c r="B3" s="8" t="s">
        <v>17</v>
      </c>
      <c r="C3" s="8" t="s">
        <v>18</v>
      </c>
      <c r="D3" s="8" t="s">
        <v>19</v>
      </c>
      <c r="E3" s="8" t="s">
        <v>20</v>
      </c>
      <c r="F3" s="8" t="s">
        <v>21</v>
      </c>
      <c r="G3" s="8" t="s">
        <v>22</v>
      </c>
      <c r="H3" s="8" t="s">
        <v>23</v>
      </c>
      <c r="I3" s="9" t="s">
        <v>24</v>
      </c>
      <c r="J3" s="9" t="s">
        <v>25</v>
      </c>
      <c r="K3" s="9" t="s">
        <v>26</v>
      </c>
      <c r="L3" s="9" t="s">
        <v>27</v>
      </c>
      <c r="M3" s="8" t="s">
        <v>28</v>
      </c>
      <c r="N3" s="8" t="s">
        <v>29</v>
      </c>
      <c r="O3" s="8" t="s">
        <v>30</v>
      </c>
      <c r="P3" s="9" t="s">
        <v>31</v>
      </c>
      <c r="Q3" s="8" t="s">
        <v>32</v>
      </c>
      <c r="R3" s="8" t="s">
        <v>33</v>
      </c>
      <c r="S3" s="9" t="s">
        <v>34</v>
      </c>
      <c r="T3" s="8" t="s">
        <v>35</v>
      </c>
      <c r="U3" s="10" t="s">
        <v>36</v>
      </c>
      <c r="V3" s="10" t="s">
        <v>37</v>
      </c>
      <c r="W3" s="11" t="s">
        <v>38</v>
      </c>
      <c r="X3" s="10" t="s">
        <v>39</v>
      </c>
      <c r="Y3" s="12" t="s">
        <v>40</v>
      </c>
      <c r="Z3" s="4" t="s">
        <v>41</v>
      </c>
      <c r="AA3" s="4" t="s">
        <v>42</v>
      </c>
      <c r="AB3" s="4" t="s">
        <v>1057</v>
      </c>
      <c r="AC3" s="4" t="s">
        <v>1056</v>
      </c>
    </row>
    <row r="4" spans="1:29" ht="24" customHeight="1">
      <c r="A4" s="7" t="s">
        <v>43</v>
      </c>
      <c r="B4" s="8">
        <v>1</v>
      </c>
      <c r="C4" s="13" t="s">
        <v>44</v>
      </c>
      <c r="D4" s="13" t="s">
        <v>45</v>
      </c>
      <c r="E4" s="14" t="s">
        <v>46</v>
      </c>
      <c r="F4" s="15">
        <v>26762</v>
      </c>
      <c r="G4" s="16" t="e">
        <f t="shared" ref="G4:G36" si="0">DATESTRING(F4)</f>
        <v>#N/A</v>
      </c>
      <c r="H4" s="17">
        <f t="shared" ref="H4:H67" ca="1" si="1">DATEDIF(F4,M$1,"Y")</f>
        <v>51</v>
      </c>
      <c r="I4" s="13">
        <v>396236</v>
      </c>
      <c r="J4" s="15">
        <v>35923</v>
      </c>
      <c r="K4" s="15">
        <v>40840</v>
      </c>
      <c r="L4" s="18"/>
      <c r="M4" s="13" t="s">
        <v>47</v>
      </c>
      <c r="N4" s="13" t="s">
        <v>48</v>
      </c>
      <c r="O4" s="19" t="s">
        <v>49</v>
      </c>
      <c r="P4" s="13" t="s">
        <v>50</v>
      </c>
      <c r="Q4" s="13" t="s">
        <v>51</v>
      </c>
      <c r="R4" s="19" t="s">
        <v>52</v>
      </c>
      <c r="S4" s="20" t="s">
        <v>53</v>
      </c>
      <c r="T4" s="13"/>
      <c r="U4" s="21"/>
      <c r="V4" s="21" t="s">
        <v>54</v>
      </c>
      <c r="W4" s="21" t="s">
        <v>55</v>
      </c>
      <c r="Z4" s="4" t="s">
        <v>56</v>
      </c>
      <c r="AA4" s="4">
        <v>480408</v>
      </c>
      <c r="AB4" s="4">
        <v>1</v>
      </c>
    </row>
    <row r="5" spans="1:29" ht="24" customHeight="1">
      <c r="A5" s="7"/>
      <c r="B5" s="8">
        <v>2</v>
      </c>
      <c r="C5" s="13" t="s">
        <v>57</v>
      </c>
      <c r="D5" s="13" t="s">
        <v>58</v>
      </c>
      <c r="E5" s="14" t="s">
        <v>59</v>
      </c>
      <c r="F5" s="15">
        <v>22849</v>
      </c>
      <c r="G5" s="16" t="e">
        <f t="shared" si="0"/>
        <v>#N/A</v>
      </c>
      <c r="H5" s="17">
        <f t="shared" ca="1" si="1"/>
        <v>62</v>
      </c>
      <c r="I5" s="13">
        <v>306105</v>
      </c>
      <c r="J5" s="15">
        <v>31922</v>
      </c>
      <c r="K5" s="15">
        <v>32185</v>
      </c>
      <c r="L5" s="18"/>
      <c r="M5" s="13" t="s">
        <v>60</v>
      </c>
      <c r="N5" s="13" t="s">
        <v>61</v>
      </c>
      <c r="O5" s="19" t="s">
        <v>62</v>
      </c>
      <c r="P5" s="13" t="s">
        <v>63</v>
      </c>
      <c r="Q5" s="13" t="s">
        <v>64</v>
      </c>
      <c r="R5" s="19" t="s">
        <v>65</v>
      </c>
      <c r="S5" s="20" t="s">
        <v>66</v>
      </c>
      <c r="T5" s="13"/>
      <c r="U5" s="21"/>
      <c r="V5" s="21"/>
      <c r="W5" s="21" t="s">
        <v>67</v>
      </c>
      <c r="Z5" s="4" t="s">
        <v>68</v>
      </c>
      <c r="AA5" s="4" t="s">
        <v>69</v>
      </c>
      <c r="AB5" s="4">
        <v>1</v>
      </c>
    </row>
    <row r="6" spans="1:29" ht="24" customHeight="1">
      <c r="A6" s="7"/>
      <c r="B6" s="8">
        <v>3</v>
      </c>
      <c r="C6" s="13" t="s">
        <v>70</v>
      </c>
      <c r="D6" s="13" t="s">
        <v>71</v>
      </c>
      <c r="E6" s="8" t="s">
        <v>72</v>
      </c>
      <c r="F6" s="15">
        <v>17900</v>
      </c>
      <c r="G6" s="16" t="e">
        <f t="shared" si="0"/>
        <v>#N/A</v>
      </c>
      <c r="H6" s="17">
        <f t="shared" ca="1" si="1"/>
        <v>75</v>
      </c>
      <c r="I6" s="13">
        <v>256089</v>
      </c>
      <c r="J6" s="15">
        <v>29402</v>
      </c>
      <c r="K6" s="15"/>
      <c r="L6" s="18"/>
      <c r="M6" s="13" t="s">
        <v>73</v>
      </c>
      <c r="N6" s="13" t="s">
        <v>74</v>
      </c>
      <c r="O6" s="19" t="s">
        <v>75</v>
      </c>
      <c r="P6" s="13" t="s">
        <v>76</v>
      </c>
      <c r="Q6" s="13" t="s">
        <v>74</v>
      </c>
      <c r="R6" s="19" t="s">
        <v>77</v>
      </c>
      <c r="S6" s="20" t="s">
        <v>78</v>
      </c>
      <c r="T6" s="13"/>
      <c r="U6" s="21"/>
      <c r="V6" s="21"/>
      <c r="W6" s="21" t="s">
        <v>67</v>
      </c>
      <c r="Z6" s="4" t="s">
        <v>79</v>
      </c>
      <c r="AA6" s="4" t="s">
        <v>80</v>
      </c>
      <c r="AB6" s="4">
        <v>1</v>
      </c>
    </row>
    <row r="7" spans="1:29" ht="24" customHeight="1">
      <c r="A7" s="7"/>
      <c r="B7" s="8">
        <v>4</v>
      </c>
      <c r="C7" s="13" t="s">
        <v>81</v>
      </c>
      <c r="D7" s="13" t="s">
        <v>82</v>
      </c>
      <c r="E7" s="8" t="s">
        <v>72</v>
      </c>
      <c r="F7" s="15">
        <v>25437</v>
      </c>
      <c r="G7" s="16" t="e">
        <f t="shared" si="0"/>
        <v>#N/A</v>
      </c>
      <c r="H7" s="17">
        <f t="shared" ca="1" si="1"/>
        <v>54</v>
      </c>
      <c r="I7" s="13">
        <v>370322</v>
      </c>
      <c r="J7" s="15">
        <v>34817</v>
      </c>
      <c r="K7" s="15"/>
      <c r="L7" s="18"/>
      <c r="M7" s="13" t="s">
        <v>83</v>
      </c>
      <c r="N7" s="13" t="s">
        <v>84</v>
      </c>
      <c r="O7" s="19" t="s">
        <v>85</v>
      </c>
      <c r="P7" s="13" t="s">
        <v>86</v>
      </c>
      <c r="Q7" s="13" t="s">
        <v>87</v>
      </c>
      <c r="R7" s="19" t="s">
        <v>88</v>
      </c>
      <c r="S7" s="20" t="s">
        <v>89</v>
      </c>
      <c r="T7" s="13"/>
      <c r="U7" s="21"/>
      <c r="V7" s="21"/>
      <c r="W7" s="21" t="s">
        <v>55</v>
      </c>
      <c r="Z7" s="4" t="s">
        <v>90</v>
      </c>
      <c r="AA7" s="4">
        <v>370322</v>
      </c>
      <c r="AB7" s="4">
        <v>1</v>
      </c>
    </row>
    <row r="8" spans="1:29" ht="24" customHeight="1">
      <c r="A8" s="7"/>
      <c r="B8" s="8">
        <v>5</v>
      </c>
      <c r="C8" s="13" t="s">
        <v>91</v>
      </c>
      <c r="D8" s="13" t="s">
        <v>92</v>
      </c>
      <c r="E8" s="8" t="s">
        <v>93</v>
      </c>
      <c r="F8" s="15">
        <v>14138</v>
      </c>
      <c r="G8" s="16" t="e">
        <f t="shared" si="0"/>
        <v>#N/A</v>
      </c>
      <c r="H8" s="17">
        <f t="shared" ca="1" si="1"/>
        <v>85</v>
      </c>
      <c r="I8" s="13">
        <v>191382</v>
      </c>
      <c r="J8" s="15">
        <v>24253</v>
      </c>
      <c r="K8" s="15"/>
      <c r="L8" s="18"/>
      <c r="M8" s="19" t="s">
        <v>94</v>
      </c>
      <c r="N8" s="13" t="s">
        <v>95</v>
      </c>
      <c r="O8" s="19" t="s">
        <v>96</v>
      </c>
      <c r="P8" s="13" t="s">
        <v>97</v>
      </c>
      <c r="Q8" s="13" t="s">
        <v>98</v>
      </c>
      <c r="R8" s="19" t="s">
        <v>99</v>
      </c>
      <c r="S8" s="20" t="s">
        <v>100</v>
      </c>
      <c r="T8" s="13"/>
      <c r="U8" s="21"/>
      <c r="V8" s="21"/>
      <c r="W8" s="21" t="s">
        <v>101</v>
      </c>
      <c r="X8" s="4" t="s">
        <v>102</v>
      </c>
      <c r="Z8" s="4" t="s">
        <v>103</v>
      </c>
      <c r="AA8" s="4" t="s">
        <v>104</v>
      </c>
      <c r="AB8" s="4">
        <v>1</v>
      </c>
    </row>
    <row r="9" spans="1:29" ht="24" customHeight="1">
      <c r="A9" s="7"/>
      <c r="B9" s="8">
        <v>6</v>
      </c>
      <c r="C9" s="13" t="s">
        <v>105</v>
      </c>
      <c r="D9" s="13" t="s">
        <v>106</v>
      </c>
      <c r="E9" s="8" t="s">
        <v>93</v>
      </c>
      <c r="F9" s="15">
        <v>27165</v>
      </c>
      <c r="G9" s="16" t="e">
        <f t="shared" si="0"/>
        <v>#N/A</v>
      </c>
      <c r="H9" s="17">
        <f t="shared" ca="1" si="1"/>
        <v>50</v>
      </c>
      <c r="I9" s="13">
        <v>419686</v>
      </c>
      <c r="J9" s="15">
        <v>37025</v>
      </c>
      <c r="K9" s="15">
        <v>37041</v>
      </c>
      <c r="L9" s="18"/>
      <c r="M9" s="13" t="s">
        <v>107</v>
      </c>
      <c r="N9" s="13" t="s">
        <v>108</v>
      </c>
      <c r="O9" s="19" t="s">
        <v>109</v>
      </c>
      <c r="P9" s="13" t="s">
        <v>110</v>
      </c>
      <c r="Q9" s="13" t="s">
        <v>108</v>
      </c>
      <c r="R9" s="19" t="s">
        <v>111</v>
      </c>
      <c r="S9" s="20" t="s">
        <v>112</v>
      </c>
      <c r="T9" s="13"/>
      <c r="U9" s="22"/>
      <c r="V9" s="22" t="s">
        <v>54</v>
      </c>
      <c r="W9" s="22" t="s">
        <v>67</v>
      </c>
      <c r="Z9" s="4" t="s">
        <v>113</v>
      </c>
      <c r="AA9" s="4">
        <v>19740516</v>
      </c>
      <c r="AB9" s="4">
        <v>1</v>
      </c>
    </row>
    <row r="10" spans="1:29" ht="24" customHeight="1">
      <c r="A10" s="7"/>
      <c r="B10" s="8">
        <v>7</v>
      </c>
      <c r="C10" s="13" t="s">
        <v>114</v>
      </c>
      <c r="D10" s="13" t="s">
        <v>115</v>
      </c>
      <c r="E10" s="23" t="s">
        <v>46</v>
      </c>
      <c r="F10" s="15">
        <v>20878</v>
      </c>
      <c r="G10" s="16" t="e">
        <f t="shared" si="0"/>
        <v>#N/A</v>
      </c>
      <c r="H10" s="17">
        <f t="shared" ca="1" si="1"/>
        <v>67</v>
      </c>
      <c r="I10" s="13">
        <v>262364</v>
      </c>
      <c r="J10" s="15">
        <v>29762</v>
      </c>
      <c r="K10" s="15"/>
      <c r="L10" s="18"/>
      <c r="M10" s="13" t="s">
        <v>116</v>
      </c>
      <c r="N10" s="24" t="s">
        <v>117</v>
      </c>
      <c r="O10" s="25" t="s">
        <v>118</v>
      </c>
      <c r="P10" s="26" t="s">
        <v>119</v>
      </c>
      <c r="Q10" s="13" t="s">
        <v>120</v>
      </c>
      <c r="R10" s="19" t="s">
        <v>121</v>
      </c>
      <c r="S10" s="20" t="s">
        <v>122</v>
      </c>
      <c r="T10" s="13"/>
      <c r="U10" s="22"/>
      <c r="V10" s="22"/>
      <c r="W10" s="22" t="s">
        <v>55</v>
      </c>
      <c r="Z10" s="4" t="s">
        <v>123</v>
      </c>
      <c r="AA10" s="4">
        <v>262364</v>
      </c>
      <c r="AB10" s="4">
        <v>1</v>
      </c>
    </row>
    <row r="11" spans="1:29" ht="24" customHeight="1">
      <c r="A11" s="7"/>
      <c r="B11" s="8">
        <f>B10+1</f>
        <v>8</v>
      </c>
      <c r="C11" s="13" t="s">
        <v>124</v>
      </c>
      <c r="D11" s="13" t="s">
        <v>125</v>
      </c>
      <c r="E11" s="23" t="s">
        <v>72</v>
      </c>
      <c r="F11" s="15"/>
      <c r="G11" s="16">
        <v>35783</v>
      </c>
      <c r="H11" s="17">
        <f ca="1">DATEDIF(F11,M$1,"Y")</f>
        <v>124</v>
      </c>
      <c r="I11" s="13">
        <v>587036</v>
      </c>
      <c r="J11" s="15">
        <v>44644</v>
      </c>
      <c r="K11" s="15">
        <v>45408</v>
      </c>
      <c r="L11" s="18"/>
      <c r="M11" s="13" t="s">
        <v>126</v>
      </c>
      <c r="N11" s="24" t="s">
        <v>127</v>
      </c>
      <c r="O11" s="25" t="s">
        <v>128</v>
      </c>
      <c r="P11" s="26" t="s">
        <v>129</v>
      </c>
      <c r="Q11" s="13" t="s">
        <v>130</v>
      </c>
      <c r="R11" s="19" t="s">
        <v>131</v>
      </c>
      <c r="S11" s="20"/>
      <c r="T11" s="20" t="s">
        <v>132</v>
      </c>
      <c r="U11" s="1" t="s">
        <v>133</v>
      </c>
      <c r="V11" s="22"/>
      <c r="W11" s="27" t="s">
        <v>134</v>
      </c>
      <c r="Z11" s="28" t="s">
        <v>135</v>
      </c>
      <c r="AA11" s="28" t="s">
        <v>136</v>
      </c>
      <c r="AB11" s="4">
        <v>1</v>
      </c>
    </row>
    <row r="12" spans="1:29" ht="24" customHeight="1">
      <c r="A12" s="7"/>
      <c r="B12" s="8">
        <v>8</v>
      </c>
      <c r="C12" s="13" t="s">
        <v>137</v>
      </c>
      <c r="D12" s="13" t="s">
        <v>138</v>
      </c>
      <c r="E12" s="8" t="s">
        <v>93</v>
      </c>
      <c r="F12" s="15">
        <v>19275</v>
      </c>
      <c r="G12" s="16" t="e">
        <f t="shared" si="0"/>
        <v>#N/A</v>
      </c>
      <c r="H12" s="17">
        <f t="shared" ca="1" si="1"/>
        <v>71</v>
      </c>
      <c r="I12" s="13">
        <v>236356</v>
      </c>
      <c r="J12" s="15">
        <v>28275</v>
      </c>
      <c r="K12" s="15"/>
      <c r="L12" s="18"/>
      <c r="M12" s="13" t="s">
        <v>139</v>
      </c>
      <c r="N12" s="13" t="s">
        <v>140</v>
      </c>
      <c r="O12" s="19" t="s">
        <v>141</v>
      </c>
      <c r="P12" s="13" t="s">
        <v>142</v>
      </c>
      <c r="Q12" s="13" t="s">
        <v>143</v>
      </c>
      <c r="R12" s="19" t="s">
        <v>144</v>
      </c>
      <c r="S12" s="20" t="s">
        <v>145</v>
      </c>
      <c r="T12" s="13"/>
      <c r="U12" s="21"/>
      <c r="V12" s="21"/>
      <c r="W12" s="21" t="s">
        <v>67</v>
      </c>
      <c r="Z12" s="4" t="s">
        <v>146</v>
      </c>
      <c r="AA12" s="4" t="s">
        <v>147</v>
      </c>
      <c r="AB12" s="4">
        <v>1</v>
      </c>
    </row>
    <row r="13" spans="1:29" ht="24" customHeight="1">
      <c r="A13" s="7"/>
      <c r="B13" s="8">
        <v>9</v>
      </c>
      <c r="C13" s="13" t="s">
        <v>148</v>
      </c>
      <c r="D13" s="13" t="s">
        <v>149</v>
      </c>
      <c r="E13" s="8" t="s">
        <v>72</v>
      </c>
      <c r="F13" s="15">
        <v>26812</v>
      </c>
      <c r="G13" s="16" t="e">
        <f t="shared" si="0"/>
        <v>#N/A</v>
      </c>
      <c r="H13" s="17">
        <f t="shared" ca="1" si="1"/>
        <v>51</v>
      </c>
      <c r="I13" s="13">
        <v>392821</v>
      </c>
      <c r="J13" s="15">
        <v>35912</v>
      </c>
      <c r="K13" s="15"/>
      <c r="L13" s="18"/>
      <c r="M13" s="13" t="s">
        <v>150</v>
      </c>
      <c r="N13" s="13" t="s">
        <v>151</v>
      </c>
      <c r="O13" s="19" t="s">
        <v>152</v>
      </c>
      <c r="P13" s="13" t="s">
        <v>153</v>
      </c>
      <c r="Q13" s="13" t="s">
        <v>154</v>
      </c>
      <c r="R13" s="19" t="s">
        <v>155</v>
      </c>
      <c r="S13" s="20"/>
      <c r="T13" s="13" t="s">
        <v>156</v>
      </c>
      <c r="U13" s="22"/>
      <c r="V13" s="22"/>
      <c r="W13" s="27" t="s">
        <v>157</v>
      </c>
      <c r="Y13" s="6">
        <v>44713</v>
      </c>
      <c r="Z13" s="4" t="s">
        <v>158</v>
      </c>
      <c r="AA13" s="4" t="s">
        <v>159</v>
      </c>
      <c r="AB13" s="4">
        <v>1</v>
      </c>
    </row>
    <row r="14" spans="1:29" ht="24" customHeight="1">
      <c r="A14" s="7"/>
      <c r="B14" s="8">
        <v>10</v>
      </c>
      <c r="C14" s="13" t="s">
        <v>160</v>
      </c>
      <c r="D14" s="13" t="s">
        <v>161</v>
      </c>
      <c r="E14" s="23" t="s">
        <v>46</v>
      </c>
      <c r="F14" s="15">
        <v>21844</v>
      </c>
      <c r="G14" s="16" t="e">
        <f t="shared" si="0"/>
        <v>#N/A</v>
      </c>
      <c r="H14" s="17">
        <f t="shared" ca="1" si="1"/>
        <v>64</v>
      </c>
      <c r="I14" s="13">
        <v>293431</v>
      </c>
      <c r="J14" s="15">
        <v>31201</v>
      </c>
      <c r="K14" s="15">
        <v>31723</v>
      </c>
      <c r="L14" s="18"/>
      <c r="M14" s="13" t="s">
        <v>162</v>
      </c>
      <c r="N14" s="13" t="s">
        <v>163</v>
      </c>
      <c r="O14" s="19" t="s">
        <v>164</v>
      </c>
      <c r="P14" s="13" t="s">
        <v>165</v>
      </c>
      <c r="Q14" s="13" t="s">
        <v>166</v>
      </c>
      <c r="R14" s="19" t="s">
        <v>167</v>
      </c>
      <c r="S14" s="20" t="s">
        <v>168</v>
      </c>
      <c r="T14" s="13"/>
      <c r="U14" s="21"/>
      <c r="V14" s="21"/>
      <c r="W14" s="21" t="s">
        <v>67</v>
      </c>
      <c r="Z14" s="4" t="s">
        <v>169</v>
      </c>
      <c r="AA14" s="4">
        <v>19591021</v>
      </c>
      <c r="AB14" s="4">
        <v>1</v>
      </c>
    </row>
    <row r="15" spans="1:29" ht="24" customHeight="1">
      <c r="A15" s="7"/>
      <c r="B15" s="8">
        <v>11</v>
      </c>
      <c r="C15" s="13" t="s">
        <v>170</v>
      </c>
      <c r="D15" s="13" t="s">
        <v>171</v>
      </c>
      <c r="E15" s="23" t="s">
        <v>59</v>
      </c>
      <c r="F15" s="15">
        <v>22687</v>
      </c>
      <c r="G15" s="16" t="e">
        <f t="shared" si="0"/>
        <v>#N/A</v>
      </c>
      <c r="H15" s="17">
        <f t="shared" ca="1" si="1"/>
        <v>62</v>
      </c>
      <c r="I15" s="13">
        <v>296460</v>
      </c>
      <c r="J15" s="15">
        <v>31554</v>
      </c>
      <c r="K15" s="15">
        <v>32185</v>
      </c>
      <c r="L15" s="18"/>
      <c r="M15" s="13" t="s">
        <v>172</v>
      </c>
      <c r="N15" s="13" t="s">
        <v>173</v>
      </c>
      <c r="O15" s="19" t="s">
        <v>174</v>
      </c>
      <c r="P15" s="13" t="s">
        <v>175</v>
      </c>
      <c r="Q15" s="13" t="s">
        <v>176</v>
      </c>
      <c r="R15" s="19" t="s">
        <v>177</v>
      </c>
      <c r="S15" s="20" t="s">
        <v>178</v>
      </c>
      <c r="T15" s="13"/>
      <c r="U15" s="22"/>
      <c r="V15" s="22"/>
      <c r="W15" s="22" t="s">
        <v>67</v>
      </c>
      <c r="Z15" s="4" t="s">
        <v>179</v>
      </c>
      <c r="AA15" s="4" t="s">
        <v>180</v>
      </c>
      <c r="AB15" s="4">
        <v>1</v>
      </c>
    </row>
    <row r="16" spans="1:29" ht="24" customHeight="1">
      <c r="A16" s="7"/>
      <c r="B16" s="8">
        <v>12</v>
      </c>
      <c r="C16" s="13" t="s">
        <v>181</v>
      </c>
      <c r="D16" s="13" t="s">
        <v>182</v>
      </c>
      <c r="E16" s="8" t="s">
        <v>72</v>
      </c>
      <c r="F16" s="15">
        <v>22239</v>
      </c>
      <c r="G16" s="16" t="e">
        <f t="shared" si="0"/>
        <v>#N/A</v>
      </c>
      <c r="H16" s="17">
        <f t="shared" ca="1" si="1"/>
        <v>63</v>
      </c>
      <c r="I16" s="13">
        <v>293888</v>
      </c>
      <c r="J16" s="15">
        <v>31204</v>
      </c>
      <c r="K16" s="15">
        <v>31741</v>
      </c>
      <c r="L16" s="18"/>
      <c r="M16" s="13" t="s">
        <v>183</v>
      </c>
      <c r="N16" s="13" t="s">
        <v>184</v>
      </c>
      <c r="O16" s="19" t="s">
        <v>185</v>
      </c>
      <c r="P16" s="13" t="s">
        <v>186</v>
      </c>
      <c r="Q16" s="13" t="s">
        <v>187</v>
      </c>
      <c r="R16" s="19" t="s">
        <v>188</v>
      </c>
      <c r="S16" s="20" t="s">
        <v>189</v>
      </c>
      <c r="T16" s="13"/>
      <c r="U16" s="21"/>
      <c r="V16" s="21" t="s">
        <v>190</v>
      </c>
      <c r="W16" s="21" t="s">
        <v>67</v>
      </c>
      <c r="Z16" s="4" t="s">
        <v>191</v>
      </c>
      <c r="AA16" s="4" t="s">
        <v>192</v>
      </c>
      <c r="AB16" s="4">
        <v>1</v>
      </c>
    </row>
    <row r="17" spans="1:28" ht="24" customHeight="1">
      <c r="A17" s="7"/>
      <c r="B17" s="8">
        <f>B16+1</f>
        <v>13</v>
      </c>
      <c r="C17" s="13" t="s">
        <v>193</v>
      </c>
      <c r="D17" s="13" t="s">
        <v>194</v>
      </c>
      <c r="E17" s="8" t="s">
        <v>72</v>
      </c>
      <c r="F17" s="15"/>
      <c r="G17" s="16">
        <v>30852</v>
      </c>
      <c r="H17" s="17">
        <f ca="1">DATEDIF(F17,M$1,"Y")</f>
        <v>124</v>
      </c>
      <c r="I17" s="13">
        <v>589735</v>
      </c>
      <c r="J17" s="15">
        <v>44648</v>
      </c>
      <c r="K17" s="15">
        <v>45408</v>
      </c>
      <c r="L17" s="18"/>
      <c r="M17" s="13" t="s">
        <v>126</v>
      </c>
      <c r="N17" s="13" t="s">
        <v>127</v>
      </c>
      <c r="O17" s="19" t="s">
        <v>195</v>
      </c>
      <c r="P17" s="13" t="s">
        <v>129</v>
      </c>
      <c r="Q17" s="13" t="s">
        <v>196</v>
      </c>
      <c r="R17" s="19" t="s">
        <v>197</v>
      </c>
      <c r="S17" s="20"/>
      <c r="T17" s="13" t="s">
        <v>198</v>
      </c>
      <c r="U17" s="1" t="s">
        <v>199</v>
      </c>
      <c r="V17" s="22"/>
      <c r="W17" s="27" t="s">
        <v>134</v>
      </c>
      <c r="Z17" s="28" t="s">
        <v>200</v>
      </c>
      <c r="AA17" s="28" t="s">
        <v>201</v>
      </c>
      <c r="AB17" s="4">
        <v>1</v>
      </c>
    </row>
    <row r="18" spans="1:28" ht="24" customHeight="1">
      <c r="A18" s="7"/>
      <c r="B18" s="8">
        <f>B16+1</f>
        <v>13</v>
      </c>
      <c r="C18" s="13" t="s">
        <v>202</v>
      </c>
      <c r="D18" s="13" t="s">
        <v>203</v>
      </c>
      <c r="E18" s="8" t="s">
        <v>59</v>
      </c>
      <c r="F18" s="15"/>
      <c r="G18" s="16">
        <v>35821</v>
      </c>
      <c r="H18" s="17">
        <f ca="1">DATEDIF(F18,M$1,"Y")</f>
        <v>124</v>
      </c>
      <c r="I18" s="13">
        <v>589731</v>
      </c>
      <c r="J18" s="15">
        <v>44648</v>
      </c>
      <c r="K18" s="15">
        <v>45408</v>
      </c>
      <c r="L18" s="18"/>
      <c r="M18" s="13" t="s">
        <v>126</v>
      </c>
      <c r="N18" s="13" t="s">
        <v>127</v>
      </c>
      <c r="O18" s="19" t="s">
        <v>195</v>
      </c>
      <c r="P18" s="13" t="s">
        <v>129</v>
      </c>
      <c r="Q18" s="13" t="s">
        <v>204</v>
      </c>
      <c r="R18" s="19" t="s">
        <v>205</v>
      </c>
      <c r="S18" s="20"/>
      <c r="T18" s="13" t="s">
        <v>206</v>
      </c>
      <c r="U18" s="1" t="s">
        <v>207</v>
      </c>
      <c r="V18" s="22"/>
      <c r="W18" s="27" t="s">
        <v>134</v>
      </c>
      <c r="Z18" s="28" t="s">
        <v>208</v>
      </c>
      <c r="AA18" s="28" t="s">
        <v>209</v>
      </c>
      <c r="AB18" s="4">
        <v>1</v>
      </c>
    </row>
    <row r="19" spans="1:28" ht="24" customHeight="1">
      <c r="A19" s="7" t="s">
        <v>210</v>
      </c>
      <c r="B19" s="8">
        <v>13</v>
      </c>
      <c r="C19" s="13" t="s">
        <v>211</v>
      </c>
      <c r="D19" s="13" t="s">
        <v>212</v>
      </c>
      <c r="E19" s="8" t="s">
        <v>72</v>
      </c>
      <c r="F19" s="15">
        <v>24414</v>
      </c>
      <c r="G19" s="16" t="e">
        <f t="shared" si="0"/>
        <v>#N/A</v>
      </c>
      <c r="H19" s="17">
        <f t="shared" ca="1" si="1"/>
        <v>57</v>
      </c>
      <c r="I19" s="13">
        <v>345605</v>
      </c>
      <c r="J19" s="15">
        <v>33743</v>
      </c>
      <c r="K19" s="15">
        <v>34310</v>
      </c>
      <c r="L19" s="18"/>
      <c r="M19" s="13" t="s">
        <v>213</v>
      </c>
      <c r="N19" s="13" t="s">
        <v>214</v>
      </c>
      <c r="O19" s="19" t="s">
        <v>215</v>
      </c>
      <c r="P19" s="13" t="s">
        <v>216</v>
      </c>
      <c r="Q19" s="13" t="s">
        <v>217</v>
      </c>
      <c r="R19" s="19" t="s">
        <v>218</v>
      </c>
      <c r="S19" s="20" t="s">
        <v>219</v>
      </c>
      <c r="T19" s="13"/>
      <c r="U19" s="22"/>
      <c r="V19" s="22"/>
      <c r="W19" s="22" t="s">
        <v>67</v>
      </c>
      <c r="Z19" s="4" t="s">
        <v>220</v>
      </c>
      <c r="AA19" s="4" t="s">
        <v>221</v>
      </c>
      <c r="AB19" s="4">
        <v>1</v>
      </c>
    </row>
    <row r="20" spans="1:28" ht="24" customHeight="1">
      <c r="A20" s="7"/>
      <c r="B20" s="8">
        <v>14</v>
      </c>
      <c r="C20" s="13" t="s">
        <v>222</v>
      </c>
      <c r="D20" s="13" t="s">
        <v>223</v>
      </c>
      <c r="E20" s="23" t="s">
        <v>59</v>
      </c>
      <c r="F20" s="15">
        <v>25734</v>
      </c>
      <c r="G20" s="16" t="e">
        <f t="shared" si="0"/>
        <v>#N/A</v>
      </c>
      <c r="H20" s="17">
        <f t="shared" ca="1" si="1"/>
        <v>54</v>
      </c>
      <c r="I20" s="13">
        <v>381181</v>
      </c>
      <c r="J20" s="15">
        <v>35192</v>
      </c>
      <c r="K20" s="15">
        <v>35479</v>
      </c>
      <c r="L20" s="18"/>
      <c r="M20" s="13" t="s">
        <v>224</v>
      </c>
      <c r="N20" s="13" t="s">
        <v>214</v>
      </c>
      <c r="O20" s="19" t="s">
        <v>215</v>
      </c>
      <c r="P20" s="13" t="s">
        <v>216</v>
      </c>
      <c r="Q20" s="13" t="s">
        <v>214</v>
      </c>
      <c r="R20" s="19" t="s">
        <v>225</v>
      </c>
      <c r="S20" s="20" t="s">
        <v>226</v>
      </c>
      <c r="T20" s="13"/>
      <c r="U20" s="22"/>
      <c r="V20" s="22"/>
      <c r="W20" s="22" t="s">
        <v>55</v>
      </c>
      <c r="Z20" s="4" t="s">
        <v>227</v>
      </c>
      <c r="AA20" s="4">
        <v>450615</v>
      </c>
      <c r="AB20" s="4">
        <v>1</v>
      </c>
    </row>
    <row r="21" spans="1:28" ht="24" customHeight="1">
      <c r="A21" s="7"/>
      <c r="B21" s="8">
        <v>15</v>
      </c>
      <c r="C21" s="13" t="s">
        <v>228</v>
      </c>
      <c r="D21" s="13" t="s">
        <v>229</v>
      </c>
      <c r="E21" s="8" t="s">
        <v>72</v>
      </c>
      <c r="F21" s="15">
        <v>24938</v>
      </c>
      <c r="G21" s="16" t="e">
        <f t="shared" si="0"/>
        <v>#N/A</v>
      </c>
      <c r="H21" s="17">
        <f t="shared" ca="1" si="1"/>
        <v>56</v>
      </c>
      <c r="I21" s="13">
        <v>382174</v>
      </c>
      <c r="J21" s="15">
        <v>35195</v>
      </c>
      <c r="K21" s="15">
        <v>35384</v>
      </c>
      <c r="L21" s="18"/>
      <c r="M21" s="13" t="s">
        <v>230</v>
      </c>
      <c r="N21" s="13" t="s">
        <v>231</v>
      </c>
      <c r="O21" s="19" t="s">
        <v>232</v>
      </c>
      <c r="P21" s="13" t="s">
        <v>233</v>
      </c>
      <c r="Q21" s="13" t="s">
        <v>234</v>
      </c>
      <c r="R21" s="19" t="s">
        <v>235</v>
      </c>
      <c r="S21" s="20" t="s">
        <v>236</v>
      </c>
      <c r="T21" s="13"/>
      <c r="U21" s="22"/>
      <c r="V21" s="22" t="s">
        <v>54</v>
      </c>
      <c r="W21" s="22" t="s">
        <v>55</v>
      </c>
      <c r="Z21" s="4" t="s">
        <v>237</v>
      </c>
      <c r="AA21" s="4" t="s">
        <v>238</v>
      </c>
      <c r="AB21" s="4">
        <v>1</v>
      </c>
    </row>
    <row r="22" spans="1:28" ht="24" customHeight="1">
      <c r="A22" s="7"/>
      <c r="B22" s="8">
        <v>16</v>
      </c>
      <c r="C22" s="13" t="s">
        <v>239</v>
      </c>
      <c r="D22" s="13" t="s">
        <v>240</v>
      </c>
      <c r="E22" s="23" t="s">
        <v>59</v>
      </c>
      <c r="F22" s="15">
        <v>25271</v>
      </c>
      <c r="G22" s="16" t="e">
        <f t="shared" si="0"/>
        <v>#N/A</v>
      </c>
      <c r="H22" s="17">
        <f t="shared" ca="1" si="1"/>
        <v>55</v>
      </c>
      <c r="I22" s="13">
        <v>381935</v>
      </c>
      <c r="J22" s="15">
        <v>35194</v>
      </c>
      <c r="K22" s="15">
        <v>35327</v>
      </c>
      <c r="L22" s="18" t="s">
        <v>241</v>
      </c>
      <c r="M22" s="13"/>
      <c r="N22" s="13"/>
      <c r="O22" s="19"/>
      <c r="P22" s="13"/>
      <c r="Q22" s="13" t="s">
        <v>234</v>
      </c>
      <c r="R22" s="19" t="s">
        <v>235</v>
      </c>
      <c r="S22" s="20" t="s">
        <v>236</v>
      </c>
      <c r="T22" s="13"/>
      <c r="U22" s="22"/>
      <c r="V22" s="22"/>
      <c r="W22" s="22" t="s">
        <v>55</v>
      </c>
      <c r="Z22" s="4" t="s">
        <v>242</v>
      </c>
      <c r="AA22" s="4" t="s">
        <v>243</v>
      </c>
      <c r="AB22" s="4">
        <v>1</v>
      </c>
    </row>
    <row r="23" spans="1:28" ht="24" customHeight="1">
      <c r="A23" s="7"/>
      <c r="B23" s="8">
        <v>17</v>
      </c>
      <c r="C23" s="13" t="s">
        <v>244</v>
      </c>
      <c r="D23" s="13" t="s">
        <v>245</v>
      </c>
      <c r="E23" s="14" t="s">
        <v>46</v>
      </c>
      <c r="F23" s="15">
        <v>30500</v>
      </c>
      <c r="G23" s="16" t="e">
        <f t="shared" si="0"/>
        <v>#N/A</v>
      </c>
      <c r="H23" s="17">
        <f t="shared" ca="1" si="1"/>
        <v>41</v>
      </c>
      <c r="I23" s="13">
        <v>476193</v>
      </c>
      <c r="J23" s="15">
        <v>39899</v>
      </c>
      <c r="K23" s="15">
        <v>40638</v>
      </c>
      <c r="L23" s="18"/>
      <c r="M23" s="13" t="s">
        <v>246</v>
      </c>
      <c r="N23" s="13" t="s">
        <v>247</v>
      </c>
      <c r="O23" s="19" t="s">
        <v>248</v>
      </c>
      <c r="P23" s="13" t="s">
        <v>249</v>
      </c>
      <c r="Q23" s="13" t="s">
        <v>250</v>
      </c>
      <c r="R23" s="19" t="s">
        <v>251</v>
      </c>
      <c r="S23" s="20" t="s">
        <v>252</v>
      </c>
      <c r="T23" s="13"/>
      <c r="U23" s="22"/>
      <c r="V23" s="22"/>
      <c r="W23" s="22" t="s">
        <v>55</v>
      </c>
      <c r="Z23" s="4" t="s">
        <v>253</v>
      </c>
      <c r="AA23" s="4" t="s">
        <v>254</v>
      </c>
      <c r="AB23" s="4">
        <v>1</v>
      </c>
    </row>
    <row r="24" spans="1:28" ht="24" customHeight="1">
      <c r="A24" s="7"/>
      <c r="B24" s="8">
        <v>18</v>
      </c>
      <c r="C24" s="13" t="s">
        <v>255</v>
      </c>
      <c r="D24" s="13" t="s">
        <v>256</v>
      </c>
      <c r="E24" s="8" t="s">
        <v>93</v>
      </c>
      <c r="F24" s="15">
        <v>23475</v>
      </c>
      <c r="G24" s="16" t="e">
        <f t="shared" si="0"/>
        <v>#N/A</v>
      </c>
      <c r="H24" s="17">
        <f t="shared" ca="1" si="1"/>
        <v>60</v>
      </c>
      <c r="I24" s="13">
        <v>342378</v>
      </c>
      <c r="J24" s="15">
        <v>33389</v>
      </c>
      <c r="K24" s="15">
        <v>33989</v>
      </c>
      <c r="L24" s="18"/>
      <c r="M24" s="13" t="s">
        <v>257</v>
      </c>
      <c r="N24" s="13" t="s">
        <v>258</v>
      </c>
      <c r="O24" s="19" t="s">
        <v>259</v>
      </c>
      <c r="P24" s="13" t="s">
        <v>260</v>
      </c>
      <c r="Q24" s="13" t="s">
        <v>261</v>
      </c>
      <c r="R24" s="19" t="s">
        <v>262</v>
      </c>
      <c r="S24" s="20" t="s">
        <v>263</v>
      </c>
      <c r="T24" s="13"/>
      <c r="U24" s="29" t="s">
        <v>1058</v>
      </c>
      <c r="V24" s="21" t="s">
        <v>54</v>
      </c>
      <c r="W24" s="21" t="s">
        <v>67</v>
      </c>
      <c r="Z24" s="4" t="s">
        <v>264</v>
      </c>
      <c r="AA24" s="4" t="s">
        <v>265</v>
      </c>
      <c r="AB24" s="4">
        <v>1</v>
      </c>
    </row>
    <row r="25" spans="1:28" ht="24" customHeight="1">
      <c r="A25" s="7"/>
      <c r="B25" s="8">
        <v>19</v>
      </c>
      <c r="C25" s="13" t="s">
        <v>266</v>
      </c>
      <c r="D25" s="13" t="s">
        <v>267</v>
      </c>
      <c r="E25" s="8" t="s">
        <v>93</v>
      </c>
      <c r="F25" s="15">
        <v>13980</v>
      </c>
      <c r="G25" s="16" t="e">
        <f t="shared" si="0"/>
        <v>#N/A</v>
      </c>
      <c r="H25" s="17">
        <f t="shared" ca="1" si="1"/>
        <v>86</v>
      </c>
      <c r="I25" s="13">
        <v>187745</v>
      </c>
      <c r="J25" s="13"/>
      <c r="K25" s="13"/>
      <c r="L25" s="18"/>
      <c r="M25" s="30"/>
      <c r="N25" s="31"/>
      <c r="O25" s="32"/>
      <c r="P25" s="31"/>
      <c r="Q25" s="13" t="s">
        <v>268</v>
      </c>
      <c r="R25" s="19" t="s">
        <v>269</v>
      </c>
      <c r="S25" s="20" t="s">
        <v>270</v>
      </c>
      <c r="T25" s="13"/>
      <c r="U25" s="21"/>
      <c r="V25" s="21"/>
      <c r="W25" s="21" t="s">
        <v>101</v>
      </c>
      <c r="Z25" s="4" t="s">
        <v>271</v>
      </c>
      <c r="AA25" s="4">
        <v>44214421</v>
      </c>
      <c r="AB25" s="4">
        <v>1</v>
      </c>
    </row>
    <row r="26" spans="1:28" ht="24" customHeight="1">
      <c r="A26" s="7"/>
      <c r="B26" s="8">
        <v>20</v>
      </c>
      <c r="C26" s="13" t="s">
        <v>272</v>
      </c>
      <c r="D26" s="13" t="s">
        <v>273</v>
      </c>
      <c r="E26" s="8" t="s">
        <v>93</v>
      </c>
      <c r="F26" s="15">
        <v>25067</v>
      </c>
      <c r="G26" s="16" t="e">
        <f t="shared" si="0"/>
        <v>#N/A</v>
      </c>
      <c r="H26" s="17">
        <f t="shared" ca="1" si="1"/>
        <v>55</v>
      </c>
      <c r="I26" s="13">
        <v>370333</v>
      </c>
      <c r="J26" s="15">
        <v>34817</v>
      </c>
      <c r="K26" s="15">
        <v>36314</v>
      </c>
      <c r="L26" s="18"/>
      <c r="M26" s="13" t="s">
        <v>83</v>
      </c>
      <c r="N26" s="13" t="s">
        <v>84</v>
      </c>
      <c r="O26" s="19" t="s">
        <v>85</v>
      </c>
      <c r="P26" s="13" t="s">
        <v>86</v>
      </c>
      <c r="Q26" s="13" t="s">
        <v>274</v>
      </c>
      <c r="R26" s="19" t="s">
        <v>275</v>
      </c>
      <c r="S26" s="20" t="s">
        <v>276</v>
      </c>
      <c r="T26" s="13"/>
      <c r="U26" s="21"/>
      <c r="V26" s="21"/>
      <c r="W26" s="21" t="s">
        <v>67</v>
      </c>
      <c r="Z26" s="4" t="s">
        <v>277</v>
      </c>
      <c r="AA26" s="4" t="s">
        <v>278</v>
      </c>
      <c r="AB26" s="4">
        <v>1</v>
      </c>
    </row>
    <row r="27" spans="1:28" ht="24" customHeight="1">
      <c r="A27" s="7"/>
      <c r="B27" s="8">
        <v>21</v>
      </c>
      <c r="C27" s="13" t="s">
        <v>279</v>
      </c>
      <c r="D27" s="13" t="s">
        <v>280</v>
      </c>
      <c r="E27" s="23" t="s">
        <v>46</v>
      </c>
      <c r="F27" s="15">
        <v>10798</v>
      </c>
      <c r="G27" s="16" t="e">
        <f t="shared" si="0"/>
        <v>#N/A</v>
      </c>
      <c r="H27" s="17">
        <f t="shared" ca="1" si="1"/>
        <v>95</v>
      </c>
      <c r="I27" s="13">
        <v>145859</v>
      </c>
      <c r="J27" s="13"/>
      <c r="K27" s="13"/>
      <c r="L27" s="18"/>
      <c r="M27" s="13"/>
      <c r="N27" s="13"/>
      <c r="O27" s="19"/>
      <c r="P27" s="13"/>
      <c r="Q27" s="13" t="s">
        <v>281</v>
      </c>
      <c r="R27" s="19" t="s">
        <v>282</v>
      </c>
      <c r="S27" s="20" t="s">
        <v>283</v>
      </c>
      <c r="T27" s="13"/>
      <c r="U27" s="21"/>
      <c r="V27" s="21"/>
      <c r="W27" s="21" t="s">
        <v>101</v>
      </c>
      <c r="Z27" s="28" t="s">
        <v>284</v>
      </c>
      <c r="AA27" s="28" t="s">
        <v>285</v>
      </c>
      <c r="AB27" s="4">
        <v>1</v>
      </c>
    </row>
    <row r="28" spans="1:28" ht="24" customHeight="1">
      <c r="A28" s="7"/>
      <c r="B28" s="8">
        <v>22</v>
      </c>
      <c r="C28" s="13" t="s">
        <v>286</v>
      </c>
      <c r="D28" s="13" t="s">
        <v>287</v>
      </c>
      <c r="E28" s="14" t="s">
        <v>59</v>
      </c>
      <c r="F28" s="15">
        <v>29015</v>
      </c>
      <c r="G28" s="16" t="e">
        <f t="shared" si="0"/>
        <v>#N/A</v>
      </c>
      <c r="H28" s="17">
        <f t="shared" ca="1" si="1"/>
        <v>45</v>
      </c>
      <c r="I28" s="13">
        <v>440137</v>
      </c>
      <c r="J28" s="15">
        <v>38107</v>
      </c>
      <c r="K28" s="15">
        <v>38834</v>
      </c>
      <c r="L28" s="18"/>
      <c r="M28" s="13" t="s">
        <v>288</v>
      </c>
      <c r="N28" s="13" t="s">
        <v>231</v>
      </c>
      <c r="O28" s="19" t="s">
        <v>289</v>
      </c>
      <c r="P28" s="13" t="s">
        <v>290</v>
      </c>
      <c r="Q28" s="13" t="s">
        <v>291</v>
      </c>
      <c r="R28" s="19" t="s">
        <v>292</v>
      </c>
      <c r="S28" s="20" t="s">
        <v>293</v>
      </c>
      <c r="T28" s="13"/>
      <c r="U28" s="22"/>
      <c r="V28" s="22"/>
      <c r="W28" s="22" t="s">
        <v>55</v>
      </c>
      <c r="Z28" s="4" t="s">
        <v>294</v>
      </c>
      <c r="AA28" s="4">
        <v>19790609</v>
      </c>
      <c r="AB28" s="4">
        <v>1</v>
      </c>
    </row>
    <row r="29" spans="1:28" ht="24" customHeight="1">
      <c r="A29" s="7"/>
      <c r="B29" s="8">
        <v>23</v>
      </c>
      <c r="C29" s="13" t="s">
        <v>295</v>
      </c>
      <c r="D29" s="13" t="s">
        <v>296</v>
      </c>
      <c r="E29" s="8" t="s">
        <v>93</v>
      </c>
      <c r="F29" s="15">
        <v>22669</v>
      </c>
      <c r="G29" s="16" t="e">
        <f t="shared" si="0"/>
        <v>#N/A</v>
      </c>
      <c r="H29" s="17">
        <f t="shared" ca="1" si="1"/>
        <v>62</v>
      </c>
      <c r="I29" s="13">
        <v>302135</v>
      </c>
      <c r="J29" s="15">
        <v>31572</v>
      </c>
      <c r="K29" s="15">
        <v>32185</v>
      </c>
      <c r="L29" s="18"/>
      <c r="M29" s="13" t="s">
        <v>297</v>
      </c>
      <c r="N29" s="13" t="s">
        <v>298</v>
      </c>
      <c r="O29" s="19" t="s">
        <v>299</v>
      </c>
      <c r="P29" s="13" t="s">
        <v>300</v>
      </c>
      <c r="Q29" s="13" t="s">
        <v>301</v>
      </c>
      <c r="R29" s="19" t="s">
        <v>302</v>
      </c>
      <c r="S29" s="20"/>
      <c r="T29" s="13"/>
      <c r="U29" s="22"/>
      <c r="V29" s="22"/>
      <c r="W29" s="22" t="s">
        <v>55</v>
      </c>
      <c r="Z29" s="4" t="s">
        <v>303</v>
      </c>
      <c r="AA29" s="4">
        <v>19620123</v>
      </c>
      <c r="AB29" s="4">
        <v>1</v>
      </c>
    </row>
    <row r="30" spans="1:28" ht="24" customHeight="1">
      <c r="A30" s="7"/>
      <c r="B30" s="8">
        <v>24</v>
      </c>
      <c r="C30" s="13" t="s">
        <v>304</v>
      </c>
      <c r="D30" s="13" t="s">
        <v>305</v>
      </c>
      <c r="E30" s="23" t="s">
        <v>46</v>
      </c>
      <c r="F30" s="15">
        <v>22111</v>
      </c>
      <c r="G30" s="16" t="e">
        <f t="shared" si="0"/>
        <v>#N/A</v>
      </c>
      <c r="H30" s="17">
        <f t="shared" ca="1" si="1"/>
        <v>64</v>
      </c>
      <c r="I30" s="13">
        <v>302134</v>
      </c>
      <c r="J30" s="15">
        <v>31572</v>
      </c>
      <c r="K30" s="15">
        <v>32185</v>
      </c>
      <c r="L30" s="18"/>
      <c r="M30" s="13" t="s">
        <v>306</v>
      </c>
      <c r="N30" s="13" t="s">
        <v>307</v>
      </c>
      <c r="O30" s="19" t="s">
        <v>308</v>
      </c>
      <c r="P30" s="13" t="s">
        <v>309</v>
      </c>
      <c r="Q30" s="13" t="s">
        <v>310</v>
      </c>
      <c r="R30" s="19" t="s">
        <v>311</v>
      </c>
      <c r="S30" s="20" t="s">
        <v>312</v>
      </c>
      <c r="T30" s="13"/>
      <c r="U30" s="22"/>
      <c r="V30" s="22"/>
      <c r="W30" s="22" t="s">
        <v>55</v>
      </c>
      <c r="Z30" s="4" t="s">
        <v>313</v>
      </c>
      <c r="AA30" s="4">
        <v>19600714</v>
      </c>
      <c r="AB30" s="4">
        <v>1</v>
      </c>
    </row>
    <row r="31" spans="1:28" ht="24" customHeight="1">
      <c r="A31" s="7"/>
      <c r="B31" s="8">
        <v>25</v>
      </c>
      <c r="C31" s="13" t="s">
        <v>314</v>
      </c>
      <c r="D31" s="13" t="s">
        <v>315</v>
      </c>
      <c r="E31" s="14" t="s">
        <v>46</v>
      </c>
      <c r="F31" s="15">
        <v>29488</v>
      </c>
      <c r="G31" s="16" t="e">
        <f t="shared" si="0"/>
        <v>#N/A</v>
      </c>
      <c r="H31" s="17">
        <f t="shared" ca="1" si="1"/>
        <v>43</v>
      </c>
      <c r="I31" s="13">
        <v>445694</v>
      </c>
      <c r="J31" s="15">
        <v>38441</v>
      </c>
      <c r="K31" s="15">
        <v>39188</v>
      </c>
      <c r="L31" s="18"/>
      <c r="M31" s="13" t="s">
        <v>316</v>
      </c>
      <c r="N31" s="13" t="s">
        <v>154</v>
      </c>
      <c r="O31" s="19" t="s">
        <v>317</v>
      </c>
      <c r="P31" s="13" t="s">
        <v>318</v>
      </c>
      <c r="Q31" s="13" t="s">
        <v>319</v>
      </c>
      <c r="R31" s="19" t="s">
        <v>320</v>
      </c>
      <c r="S31" s="20" t="s">
        <v>321</v>
      </c>
      <c r="T31" s="13"/>
      <c r="U31" s="22"/>
      <c r="V31" s="22"/>
      <c r="W31" s="27" t="s">
        <v>157</v>
      </c>
      <c r="Z31" s="4" t="s">
        <v>322</v>
      </c>
      <c r="AA31" s="4" t="s">
        <v>323</v>
      </c>
      <c r="AB31" s="4">
        <v>1</v>
      </c>
    </row>
    <row r="32" spans="1:28" ht="24" customHeight="1">
      <c r="A32" s="7"/>
      <c r="B32" s="8">
        <v>26</v>
      </c>
      <c r="C32" s="13" t="s">
        <v>324</v>
      </c>
      <c r="D32" s="13" t="s">
        <v>325</v>
      </c>
      <c r="E32" s="14" t="s">
        <v>46</v>
      </c>
      <c r="F32" s="15">
        <v>29102</v>
      </c>
      <c r="G32" s="16" t="e">
        <f t="shared" si="0"/>
        <v>#N/A</v>
      </c>
      <c r="H32" s="17">
        <f t="shared" ca="1" si="1"/>
        <v>44</v>
      </c>
      <c r="I32" s="13"/>
      <c r="J32" s="15"/>
      <c r="K32" s="15"/>
      <c r="L32" s="18"/>
      <c r="M32" s="13" t="s">
        <v>326</v>
      </c>
      <c r="N32" s="13" t="s">
        <v>327</v>
      </c>
      <c r="O32" s="19" t="s">
        <v>328</v>
      </c>
      <c r="P32" s="13" t="s">
        <v>329</v>
      </c>
      <c r="Q32" s="13" t="s">
        <v>330</v>
      </c>
      <c r="R32" s="19" t="s">
        <v>331</v>
      </c>
      <c r="S32" s="20" t="s">
        <v>332</v>
      </c>
      <c r="T32" s="13"/>
      <c r="U32" s="22"/>
      <c r="V32" s="22"/>
      <c r="W32" s="22" t="s">
        <v>55</v>
      </c>
      <c r="Z32" s="4" t="s">
        <v>333</v>
      </c>
      <c r="AA32" s="4">
        <v>19790904</v>
      </c>
      <c r="AB32" s="4">
        <v>1</v>
      </c>
    </row>
    <row r="33" spans="1:28" ht="24" customHeight="1">
      <c r="A33" s="7"/>
      <c r="B33" s="8">
        <v>27</v>
      </c>
      <c r="C33" s="13" t="s">
        <v>334</v>
      </c>
      <c r="D33" s="13" t="s">
        <v>335</v>
      </c>
      <c r="E33" s="8" t="s">
        <v>93</v>
      </c>
      <c r="F33" s="15">
        <v>28926</v>
      </c>
      <c r="G33" s="16" t="e">
        <f t="shared" si="0"/>
        <v>#N/A</v>
      </c>
      <c r="H33" s="17">
        <f t="shared" ca="1" si="1"/>
        <v>45</v>
      </c>
      <c r="I33" s="13">
        <v>447105</v>
      </c>
      <c r="J33" s="15">
        <v>38448</v>
      </c>
      <c r="K33" s="15">
        <v>39188</v>
      </c>
      <c r="L33" s="18"/>
      <c r="M33" s="13" t="s">
        <v>336</v>
      </c>
      <c r="N33" s="13" t="s">
        <v>337</v>
      </c>
      <c r="O33" s="19" t="s">
        <v>338</v>
      </c>
      <c r="P33" s="13" t="s">
        <v>339</v>
      </c>
      <c r="Q33" s="13" t="s">
        <v>340</v>
      </c>
      <c r="R33" s="19" t="s">
        <v>341</v>
      </c>
      <c r="S33" s="20" t="s">
        <v>342</v>
      </c>
      <c r="T33" s="13"/>
      <c r="U33" s="2" t="s">
        <v>343</v>
      </c>
      <c r="V33" s="21"/>
      <c r="W33" s="21" t="s">
        <v>55</v>
      </c>
      <c r="X33" s="4" t="s">
        <v>344</v>
      </c>
      <c r="Z33" s="4" t="s">
        <v>345</v>
      </c>
      <c r="AA33" s="4" t="s">
        <v>346</v>
      </c>
      <c r="AB33" s="4">
        <v>1</v>
      </c>
    </row>
    <row r="34" spans="1:28" ht="24" customHeight="1">
      <c r="A34" s="7"/>
      <c r="B34" s="8">
        <v>28</v>
      </c>
      <c r="C34" s="13" t="s">
        <v>347</v>
      </c>
      <c r="D34" s="13" t="s">
        <v>348</v>
      </c>
      <c r="E34" s="8" t="s">
        <v>93</v>
      </c>
      <c r="F34" s="15">
        <v>11713</v>
      </c>
      <c r="G34" s="16" t="e">
        <f t="shared" si="0"/>
        <v>#N/A</v>
      </c>
      <c r="H34" s="17">
        <f t="shared" ca="1" si="1"/>
        <v>92</v>
      </c>
      <c r="I34" s="13">
        <v>164103</v>
      </c>
      <c r="J34" s="15"/>
      <c r="K34" s="15"/>
      <c r="L34" s="18"/>
      <c r="M34" s="13"/>
      <c r="N34" s="13"/>
      <c r="O34" s="19"/>
      <c r="P34" s="13"/>
      <c r="Q34" s="13" t="s">
        <v>349</v>
      </c>
      <c r="R34" s="19" t="s">
        <v>350</v>
      </c>
      <c r="S34" s="20" t="s">
        <v>351</v>
      </c>
      <c r="T34" s="13"/>
      <c r="U34" s="21"/>
      <c r="V34" s="21"/>
      <c r="W34" s="21" t="s">
        <v>101</v>
      </c>
      <c r="Z34" s="4" t="s">
        <v>352</v>
      </c>
      <c r="AA34" s="4" t="s">
        <v>353</v>
      </c>
      <c r="AB34" s="4">
        <v>1</v>
      </c>
    </row>
    <row r="35" spans="1:28" ht="24" customHeight="1">
      <c r="A35" s="7"/>
      <c r="B35" s="8">
        <v>29</v>
      </c>
      <c r="C35" s="13" t="s">
        <v>354</v>
      </c>
      <c r="D35" s="13" t="s">
        <v>355</v>
      </c>
      <c r="E35" s="8" t="s">
        <v>93</v>
      </c>
      <c r="F35" s="15">
        <v>22757</v>
      </c>
      <c r="G35" s="16" t="e">
        <f t="shared" si="0"/>
        <v>#N/A</v>
      </c>
      <c r="H35" s="17">
        <f t="shared" ca="1" si="1"/>
        <v>62</v>
      </c>
      <c r="I35" s="13">
        <v>323430</v>
      </c>
      <c r="J35" s="15">
        <v>33025</v>
      </c>
      <c r="K35" s="15">
        <v>33036</v>
      </c>
      <c r="L35" s="18"/>
      <c r="M35" s="13" t="s">
        <v>356</v>
      </c>
      <c r="N35" s="13" t="s">
        <v>357</v>
      </c>
      <c r="O35" s="19" t="s">
        <v>358</v>
      </c>
      <c r="P35" s="13" t="s">
        <v>359</v>
      </c>
      <c r="Q35" s="13" t="s">
        <v>357</v>
      </c>
      <c r="R35" s="19" t="s">
        <v>358</v>
      </c>
      <c r="S35" s="20" t="s">
        <v>359</v>
      </c>
      <c r="T35" s="13"/>
      <c r="U35" s="21"/>
      <c r="V35" s="21"/>
      <c r="W35" s="21" t="s">
        <v>67</v>
      </c>
      <c r="Z35" s="4" t="s">
        <v>360</v>
      </c>
      <c r="AA35" s="4" t="s">
        <v>361</v>
      </c>
      <c r="AB35" s="4">
        <v>1</v>
      </c>
    </row>
    <row r="36" spans="1:28" ht="24" customHeight="1">
      <c r="A36" s="7"/>
      <c r="B36" s="8">
        <v>30</v>
      </c>
      <c r="C36" s="13" t="s">
        <v>362</v>
      </c>
      <c r="D36" s="13" t="s">
        <v>363</v>
      </c>
      <c r="E36" s="8" t="s">
        <v>93</v>
      </c>
      <c r="F36" s="15">
        <v>18864</v>
      </c>
      <c r="G36" s="16" t="e">
        <f t="shared" si="0"/>
        <v>#N/A</v>
      </c>
      <c r="H36" s="17">
        <f t="shared" ca="1" si="1"/>
        <v>72</v>
      </c>
      <c r="I36" s="13">
        <v>233498</v>
      </c>
      <c r="J36" s="13"/>
      <c r="K36" s="15">
        <v>30529</v>
      </c>
      <c r="L36" s="18"/>
      <c r="M36" s="13" t="s">
        <v>364</v>
      </c>
      <c r="N36" s="13" t="s">
        <v>365</v>
      </c>
      <c r="O36" s="19" t="s">
        <v>366</v>
      </c>
      <c r="P36" s="13" t="s">
        <v>367</v>
      </c>
      <c r="Q36" s="13" t="s">
        <v>368</v>
      </c>
      <c r="R36" s="19" t="s">
        <v>369</v>
      </c>
      <c r="S36" s="20" t="s">
        <v>370</v>
      </c>
      <c r="T36" s="13"/>
      <c r="U36" s="21"/>
      <c r="V36" s="21"/>
      <c r="W36" s="21" t="s">
        <v>67</v>
      </c>
      <c r="Z36" s="4" t="s">
        <v>371</v>
      </c>
      <c r="AA36" s="4">
        <v>19881101</v>
      </c>
      <c r="AB36" s="4">
        <v>1</v>
      </c>
    </row>
    <row r="37" spans="1:28" ht="24" customHeight="1">
      <c r="A37" s="7"/>
      <c r="B37" s="8">
        <v>31</v>
      </c>
      <c r="C37" s="13" t="s">
        <v>372</v>
      </c>
      <c r="D37" s="13" t="s">
        <v>373</v>
      </c>
      <c r="E37" s="8" t="s">
        <v>93</v>
      </c>
      <c r="F37" s="15">
        <v>32633</v>
      </c>
      <c r="G37" s="16"/>
      <c r="H37" s="17">
        <f t="shared" ca="1" si="1"/>
        <v>35</v>
      </c>
      <c r="I37" s="13">
        <v>518723</v>
      </c>
      <c r="J37" s="15">
        <v>41726</v>
      </c>
      <c r="K37" s="15"/>
      <c r="L37" s="18"/>
      <c r="M37" s="13" t="s">
        <v>364</v>
      </c>
      <c r="N37" s="13" t="s">
        <v>365</v>
      </c>
      <c r="O37" s="19" t="s">
        <v>366</v>
      </c>
      <c r="P37" s="13" t="s">
        <v>367</v>
      </c>
      <c r="Q37" s="13"/>
      <c r="R37" s="19"/>
      <c r="S37" s="20"/>
      <c r="T37" s="13"/>
      <c r="U37" s="22"/>
      <c r="V37" s="22"/>
      <c r="W37" s="22" t="s">
        <v>55</v>
      </c>
      <c r="Z37" s="28" t="s">
        <v>374</v>
      </c>
      <c r="AA37" s="28" t="s">
        <v>375</v>
      </c>
      <c r="AB37" s="4">
        <v>1</v>
      </c>
    </row>
    <row r="38" spans="1:28" ht="24" customHeight="1">
      <c r="A38" s="7"/>
      <c r="B38" s="8">
        <v>32</v>
      </c>
      <c r="C38" s="13" t="s">
        <v>376</v>
      </c>
      <c r="D38" s="13" t="s">
        <v>377</v>
      </c>
      <c r="E38" s="23" t="s">
        <v>59</v>
      </c>
      <c r="F38" s="15">
        <v>23477</v>
      </c>
      <c r="G38" s="16" t="e">
        <f t="shared" ref="G38:G101" si="2">DATESTRING(F38)</f>
        <v>#N/A</v>
      </c>
      <c r="H38" s="17">
        <f t="shared" ca="1" si="1"/>
        <v>60</v>
      </c>
      <c r="I38" s="13">
        <v>332533</v>
      </c>
      <c r="J38" s="15">
        <v>33021</v>
      </c>
      <c r="K38" s="15">
        <v>39605</v>
      </c>
      <c r="L38" s="18"/>
      <c r="M38" s="13" t="s">
        <v>378</v>
      </c>
      <c r="N38" s="13" t="s">
        <v>379</v>
      </c>
      <c r="O38" s="19" t="s">
        <v>380</v>
      </c>
      <c r="P38" s="33" t="s">
        <v>381</v>
      </c>
      <c r="Q38" s="13" t="s">
        <v>382</v>
      </c>
      <c r="R38" s="19" t="s">
        <v>383</v>
      </c>
      <c r="S38" s="20" t="s">
        <v>384</v>
      </c>
      <c r="T38" s="13"/>
      <c r="U38" s="22"/>
      <c r="V38" s="22"/>
      <c r="W38" s="22" t="s">
        <v>67</v>
      </c>
      <c r="Z38" s="4" t="s">
        <v>385</v>
      </c>
      <c r="AA38" s="4">
        <v>390410</v>
      </c>
      <c r="AB38" s="4">
        <v>1</v>
      </c>
    </row>
    <row r="39" spans="1:28" ht="24" customHeight="1">
      <c r="A39" s="7"/>
      <c r="B39" s="8">
        <v>33</v>
      </c>
      <c r="C39" s="13" t="s">
        <v>386</v>
      </c>
      <c r="D39" s="13" t="s">
        <v>387</v>
      </c>
      <c r="E39" s="23" t="s">
        <v>72</v>
      </c>
      <c r="F39" s="15">
        <v>34666</v>
      </c>
      <c r="G39" s="16" t="e">
        <f t="shared" si="2"/>
        <v>#N/A</v>
      </c>
      <c r="H39" s="17">
        <f t="shared" ca="1" si="1"/>
        <v>29</v>
      </c>
      <c r="I39" s="13">
        <v>573578</v>
      </c>
      <c r="J39" s="15">
        <v>43927</v>
      </c>
      <c r="K39" s="15">
        <v>44681</v>
      </c>
      <c r="L39" s="18"/>
      <c r="M39" s="13" t="s">
        <v>388</v>
      </c>
      <c r="N39" s="13" t="s">
        <v>389</v>
      </c>
      <c r="O39" s="19" t="s">
        <v>390</v>
      </c>
      <c r="P39" s="13" t="s">
        <v>391</v>
      </c>
      <c r="Q39" s="13" t="s">
        <v>392</v>
      </c>
      <c r="R39" s="19" t="s">
        <v>393</v>
      </c>
      <c r="S39" s="20" t="s">
        <v>394</v>
      </c>
      <c r="T39" s="13"/>
      <c r="U39" s="1" t="s">
        <v>395</v>
      </c>
      <c r="V39" s="22"/>
      <c r="W39" s="22" t="s">
        <v>396</v>
      </c>
      <c r="X39" s="4" t="s">
        <v>397</v>
      </c>
      <c r="Z39" s="4" t="s">
        <v>398</v>
      </c>
      <c r="AA39" s="4">
        <v>941128</v>
      </c>
      <c r="AB39" s="4">
        <v>1</v>
      </c>
    </row>
    <row r="40" spans="1:28" ht="24" customHeight="1">
      <c r="A40" s="7"/>
      <c r="B40" s="8">
        <v>34</v>
      </c>
      <c r="C40" s="13" t="s">
        <v>399</v>
      </c>
      <c r="D40" s="13" t="s">
        <v>400</v>
      </c>
      <c r="E40" s="8" t="s">
        <v>72</v>
      </c>
      <c r="F40" s="15">
        <v>19280</v>
      </c>
      <c r="G40" s="16" t="e">
        <f t="shared" si="2"/>
        <v>#N/A</v>
      </c>
      <c r="H40" s="17">
        <f t="shared" ca="1" si="1"/>
        <v>71</v>
      </c>
      <c r="I40" s="13">
        <v>243140</v>
      </c>
      <c r="J40" s="15">
        <v>28658</v>
      </c>
      <c r="K40" s="15"/>
      <c r="L40" s="18"/>
      <c r="M40" s="13" t="s">
        <v>401</v>
      </c>
      <c r="N40" s="13" t="s">
        <v>402</v>
      </c>
      <c r="O40" s="19" t="s">
        <v>403</v>
      </c>
      <c r="P40" s="13" t="s">
        <v>404</v>
      </c>
      <c r="Q40" s="13" t="s">
        <v>402</v>
      </c>
      <c r="R40" s="19" t="s">
        <v>405</v>
      </c>
      <c r="S40" s="20" t="s">
        <v>406</v>
      </c>
      <c r="T40" s="13"/>
      <c r="U40" s="21"/>
      <c r="V40" s="21"/>
      <c r="W40" s="21" t="s">
        <v>67</v>
      </c>
      <c r="Z40" s="4" t="s">
        <v>407</v>
      </c>
      <c r="AA40" s="4" t="s">
        <v>408</v>
      </c>
      <c r="AB40" s="4">
        <v>1</v>
      </c>
    </row>
    <row r="41" spans="1:28" ht="24" customHeight="1">
      <c r="A41" s="7"/>
      <c r="B41" s="8">
        <v>35</v>
      </c>
      <c r="C41" s="13" t="s">
        <v>409</v>
      </c>
      <c r="D41" s="13" t="s">
        <v>410</v>
      </c>
      <c r="E41" s="14" t="s">
        <v>59</v>
      </c>
      <c r="F41" s="15">
        <v>33401</v>
      </c>
      <c r="G41" s="16" t="e">
        <f t="shared" si="2"/>
        <v>#N/A</v>
      </c>
      <c r="H41" s="17">
        <f t="shared" ca="1" si="1"/>
        <v>33</v>
      </c>
      <c r="I41" s="13">
        <v>547696</v>
      </c>
      <c r="J41" s="15">
        <v>43181</v>
      </c>
      <c r="K41" s="15">
        <v>44345</v>
      </c>
      <c r="L41" s="18"/>
      <c r="M41" s="13" t="s">
        <v>411</v>
      </c>
      <c r="N41" s="13" t="s">
        <v>154</v>
      </c>
      <c r="O41" s="19" t="s">
        <v>317</v>
      </c>
      <c r="P41" s="13" t="s">
        <v>318</v>
      </c>
      <c r="Q41" s="13" t="s">
        <v>392</v>
      </c>
      <c r="R41" s="19" t="s">
        <v>412</v>
      </c>
      <c r="S41" s="20" t="s">
        <v>413</v>
      </c>
      <c r="T41" s="13"/>
      <c r="U41" s="22"/>
      <c r="V41" s="22"/>
      <c r="W41" s="27" t="s">
        <v>134</v>
      </c>
      <c r="Z41" s="4" t="s">
        <v>414</v>
      </c>
      <c r="AA41" s="34" t="s">
        <v>415</v>
      </c>
      <c r="AB41" s="4">
        <v>1</v>
      </c>
    </row>
    <row r="42" spans="1:28" ht="24" customHeight="1">
      <c r="A42" s="7"/>
      <c r="B42" s="8">
        <v>36</v>
      </c>
      <c r="C42" s="13" t="s">
        <v>416</v>
      </c>
      <c r="D42" s="13" t="s">
        <v>417</v>
      </c>
      <c r="E42" s="14" t="s">
        <v>72</v>
      </c>
      <c r="F42" s="15">
        <v>33584</v>
      </c>
      <c r="G42" s="16" t="e">
        <f t="shared" si="2"/>
        <v>#N/A</v>
      </c>
      <c r="H42" s="17">
        <f t="shared" ca="1" si="1"/>
        <v>32</v>
      </c>
      <c r="I42" s="13">
        <v>531792</v>
      </c>
      <c r="J42" s="15">
        <v>42454</v>
      </c>
      <c r="K42" s="15"/>
      <c r="L42" s="18"/>
      <c r="M42" s="13" t="s">
        <v>418</v>
      </c>
      <c r="N42" s="13" t="s">
        <v>419</v>
      </c>
      <c r="O42" s="19" t="s">
        <v>420</v>
      </c>
      <c r="P42" s="13" t="s">
        <v>421</v>
      </c>
      <c r="Q42" s="13" t="s">
        <v>422</v>
      </c>
      <c r="R42" s="19" t="s">
        <v>423</v>
      </c>
      <c r="S42" s="20" t="s">
        <v>424</v>
      </c>
      <c r="T42" s="13"/>
      <c r="U42" s="22"/>
      <c r="V42" s="22"/>
      <c r="W42" s="22" t="s">
        <v>55</v>
      </c>
      <c r="Y42" s="6">
        <v>44774</v>
      </c>
      <c r="Z42" s="4" t="s">
        <v>425</v>
      </c>
      <c r="AA42" s="4">
        <v>531792</v>
      </c>
      <c r="AB42" s="4">
        <v>1</v>
      </c>
    </row>
    <row r="43" spans="1:28" ht="24" customHeight="1">
      <c r="A43" s="7"/>
      <c r="B43" s="8">
        <v>37</v>
      </c>
      <c r="C43" s="13" t="s">
        <v>426</v>
      </c>
      <c r="D43" s="13" t="s">
        <v>427</v>
      </c>
      <c r="E43" s="23" t="s">
        <v>46</v>
      </c>
      <c r="F43" s="15">
        <v>22929</v>
      </c>
      <c r="G43" s="16" t="e">
        <f t="shared" si="2"/>
        <v>#N/A</v>
      </c>
      <c r="H43" s="17">
        <f t="shared" ca="1" si="1"/>
        <v>61</v>
      </c>
      <c r="I43" s="13">
        <v>305082</v>
      </c>
      <c r="J43" s="15">
        <v>31919</v>
      </c>
      <c r="K43" s="15">
        <v>33612</v>
      </c>
      <c r="L43" s="18"/>
      <c r="M43" s="13" t="s">
        <v>428</v>
      </c>
      <c r="N43" s="13" t="s">
        <v>429</v>
      </c>
      <c r="O43" s="19" t="s">
        <v>430</v>
      </c>
      <c r="P43" s="13" t="s">
        <v>431</v>
      </c>
      <c r="Q43" s="13" t="s">
        <v>432</v>
      </c>
      <c r="R43" s="19" t="s">
        <v>433</v>
      </c>
      <c r="S43" s="20" t="s">
        <v>434</v>
      </c>
      <c r="T43" s="13"/>
      <c r="U43" s="21"/>
      <c r="V43" s="21"/>
      <c r="W43" s="21" t="s">
        <v>67</v>
      </c>
      <c r="Z43" s="4" t="s">
        <v>435</v>
      </c>
      <c r="AA43" s="4">
        <v>483444</v>
      </c>
      <c r="AB43" s="4">
        <v>1</v>
      </c>
    </row>
    <row r="44" spans="1:28" ht="24" customHeight="1">
      <c r="A44" s="7"/>
      <c r="B44" s="8">
        <v>38</v>
      </c>
      <c r="C44" s="13" t="s">
        <v>436</v>
      </c>
      <c r="D44" s="13" t="s">
        <v>437</v>
      </c>
      <c r="E44" s="35" t="s">
        <v>72</v>
      </c>
      <c r="F44" s="15">
        <v>34650</v>
      </c>
      <c r="G44" s="16" t="e">
        <f t="shared" si="2"/>
        <v>#N/A</v>
      </c>
      <c r="H44" s="17">
        <f t="shared" ca="1" si="1"/>
        <v>29</v>
      </c>
      <c r="I44" s="13">
        <v>558315</v>
      </c>
      <c r="J44" s="15">
        <v>43550</v>
      </c>
      <c r="K44" s="15">
        <v>44349</v>
      </c>
      <c r="L44" s="18"/>
      <c r="M44" s="13" t="s">
        <v>316</v>
      </c>
      <c r="N44" s="13" t="s">
        <v>438</v>
      </c>
      <c r="O44" s="19" t="s">
        <v>317</v>
      </c>
      <c r="P44" s="13" t="s">
        <v>318</v>
      </c>
      <c r="Q44" s="13" t="s">
        <v>439</v>
      </c>
      <c r="R44" s="19" t="s">
        <v>440</v>
      </c>
      <c r="S44" s="20" t="s">
        <v>441</v>
      </c>
      <c r="T44" s="13"/>
      <c r="U44" s="22"/>
      <c r="V44" s="22"/>
      <c r="W44" s="27" t="s">
        <v>134</v>
      </c>
      <c r="Z44" s="4" t="s">
        <v>442</v>
      </c>
      <c r="AA44" s="34" t="s">
        <v>443</v>
      </c>
      <c r="AB44" s="4">
        <v>1</v>
      </c>
    </row>
    <row r="45" spans="1:28" ht="24" customHeight="1">
      <c r="A45" s="7"/>
      <c r="B45" s="8">
        <v>39</v>
      </c>
      <c r="C45" s="13" t="s">
        <v>444</v>
      </c>
      <c r="D45" s="13" t="s">
        <v>445</v>
      </c>
      <c r="E45" s="8" t="s">
        <v>72</v>
      </c>
      <c r="F45" s="15">
        <v>21246</v>
      </c>
      <c r="G45" s="16" t="e">
        <f t="shared" si="2"/>
        <v>#N/A</v>
      </c>
      <c r="H45" s="17">
        <f t="shared" ca="1" si="1"/>
        <v>66</v>
      </c>
      <c r="I45" s="13">
        <v>4103</v>
      </c>
      <c r="J45" s="13"/>
      <c r="K45" s="15">
        <v>30922</v>
      </c>
      <c r="L45" s="18"/>
      <c r="M45" s="13" t="s">
        <v>446</v>
      </c>
      <c r="N45" s="13" t="s">
        <v>447</v>
      </c>
      <c r="O45" s="19" t="s">
        <v>448</v>
      </c>
      <c r="P45" s="13" t="s">
        <v>449</v>
      </c>
      <c r="Q45" s="13" t="s">
        <v>447</v>
      </c>
      <c r="R45" s="19" t="s">
        <v>450</v>
      </c>
      <c r="S45" s="20" t="s">
        <v>451</v>
      </c>
      <c r="T45" s="13"/>
      <c r="U45" s="21"/>
      <c r="V45" s="21" t="s">
        <v>54</v>
      </c>
      <c r="W45" s="21" t="s">
        <v>67</v>
      </c>
      <c r="Z45" s="4" t="s">
        <v>452</v>
      </c>
      <c r="AA45" s="4" t="s">
        <v>453</v>
      </c>
      <c r="AB45" s="4">
        <v>1</v>
      </c>
    </row>
    <row r="46" spans="1:28" ht="24" customHeight="1">
      <c r="A46" s="7" t="s">
        <v>454</v>
      </c>
      <c r="B46" s="8">
        <v>40</v>
      </c>
      <c r="C46" s="13" t="s">
        <v>455</v>
      </c>
      <c r="D46" s="13" t="s">
        <v>456</v>
      </c>
      <c r="E46" s="23" t="s">
        <v>59</v>
      </c>
      <c r="F46" s="15">
        <v>27590</v>
      </c>
      <c r="G46" s="16" t="e">
        <f t="shared" si="2"/>
        <v>#N/A</v>
      </c>
      <c r="H46" s="17">
        <f t="shared" ca="1" si="1"/>
        <v>49</v>
      </c>
      <c r="I46" s="13">
        <v>412111</v>
      </c>
      <c r="J46" s="15">
        <v>36658</v>
      </c>
      <c r="K46" s="15">
        <v>36782</v>
      </c>
      <c r="L46" s="18"/>
      <c r="M46" s="13" t="s">
        <v>457</v>
      </c>
      <c r="N46" s="13" t="s">
        <v>458</v>
      </c>
      <c r="O46" s="19" t="s">
        <v>459</v>
      </c>
      <c r="P46" s="13" t="s">
        <v>460</v>
      </c>
      <c r="Q46" s="13" t="s">
        <v>461</v>
      </c>
      <c r="R46" s="19" t="s">
        <v>462</v>
      </c>
      <c r="S46" s="20" t="s">
        <v>463</v>
      </c>
      <c r="T46" s="13"/>
      <c r="U46" s="22"/>
      <c r="V46" s="22"/>
      <c r="W46" s="22" t="s">
        <v>55</v>
      </c>
      <c r="Z46" s="4" t="s">
        <v>464</v>
      </c>
      <c r="AA46" s="4" t="s">
        <v>465</v>
      </c>
      <c r="AB46" s="4">
        <v>1</v>
      </c>
    </row>
    <row r="47" spans="1:28" ht="24" customHeight="1">
      <c r="A47" s="7"/>
      <c r="B47" s="8">
        <v>41</v>
      </c>
      <c r="C47" s="13" t="s">
        <v>466</v>
      </c>
      <c r="D47" s="13" t="s">
        <v>467</v>
      </c>
      <c r="E47" s="14" t="s">
        <v>59</v>
      </c>
      <c r="F47" s="15">
        <v>24679</v>
      </c>
      <c r="G47" s="16" t="e">
        <f t="shared" si="2"/>
        <v>#N/A</v>
      </c>
      <c r="H47" s="17">
        <f t="shared" ca="1" si="1"/>
        <v>57</v>
      </c>
      <c r="I47" s="13">
        <v>345851</v>
      </c>
      <c r="J47" s="15">
        <v>33744</v>
      </c>
      <c r="K47" s="15">
        <v>34060</v>
      </c>
      <c r="L47" s="18"/>
      <c r="M47" s="13" t="s">
        <v>468</v>
      </c>
      <c r="N47" s="13" t="s">
        <v>298</v>
      </c>
      <c r="O47" s="19" t="s">
        <v>469</v>
      </c>
      <c r="P47" s="13" t="s">
        <v>300</v>
      </c>
      <c r="Q47" s="13"/>
      <c r="R47" s="19"/>
      <c r="S47" s="20"/>
      <c r="T47" s="13"/>
      <c r="U47" s="22"/>
      <c r="V47" s="22"/>
      <c r="W47" s="22" t="s">
        <v>55</v>
      </c>
      <c r="Z47" s="4" t="s">
        <v>470</v>
      </c>
      <c r="AA47" s="4" t="s">
        <v>471</v>
      </c>
      <c r="AB47" s="4">
        <v>1</v>
      </c>
    </row>
    <row r="48" spans="1:28" ht="24" customHeight="1">
      <c r="A48" s="7"/>
      <c r="B48" s="8">
        <v>42</v>
      </c>
      <c r="C48" s="13" t="s">
        <v>472</v>
      </c>
      <c r="D48" s="13" t="s">
        <v>473</v>
      </c>
      <c r="E48" s="8" t="s">
        <v>72</v>
      </c>
      <c r="F48" s="15">
        <v>14701</v>
      </c>
      <c r="G48" s="16" t="e">
        <f t="shared" si="2"/>
        <v>#N/A</v>
      </c>
      <c r="H48" s="17">
        <f t="shared" ca="1" si="1"/>
        <v>84</v>
      </c>
      <c r="I48" s="13">
        <v>187134</v>
      </c>
      <c r="J48" s="13"/>
      <c r="K48" s="13"/>
      <c r="L48" s="18"/>
      <c r="M48" s="31"/>
      <c r="N48" s="30"/>
      <c r="O48" s="32"/>
      <c r="P48" s="31"/>
      <c r="Q48" s="13" t="s">
        <v>474</v>
      </c>
      <c r="R48" s="19" t="s">
        <v>475</v>
      </c>
      <c r="S48" s="20" t="s">
        <v>476</v>
      </c>
      <c r="T48" s="13"/>
      <c r="U48" s="21"/>
      <c r="V48" s="21"/>
      <c r="W48" s="21" t="s">
        <v>101</v>
      </c>
      <c r="Z48" s="4" t="s">
        <v>477</v>
      </c>
      <c r="AA48" s="4" t="s">
        <v>478</v>
      </c>
      <c r="AB48" s="4">
        <v>1</v>
      </c>
    </row>
    <row r="49" spans="1:28" ht="24" customHeight="1">
      <c r="A49" s="7"/>
      <c r="B49" s="8">
        <v>43</v>
      </c>
      <c r="C49" s="13" t="s">
        <v>479</v>
      </c>
      <c r="D49" s="13" t="s">
        <v>480</v>
      </c>
      <c r="E49" s="8" t="s">
        <v>93</v>
      </c>
      <c r="F49" s="15">
        <v>21878</v>
      </c>
      <c r="G49" s="16" t="e">
        <f t="shared" si="2"/>
        <v>#N/A</v>
      </c>
      <c r="H49" s="17">
        <f t="shared" ca="1" si="1"/>
        <v>64</v>
      </c>
      <c r="I49" s="13">
        <v>289633</v>
      </c>
      <c r="J49" s="15">
        <v>31190</v>
      </c>
      <c r="K49" s="15">
        <v>31741</v>
      </c>
      <c r="L49" s="18"/>
      <c r="M49" s="13" t="s">
        <v>230</v>
      </c>
      <c r="N49" s="13" t="s">
        <v>231</v>
      </c>
      <c r="O49" s="19" t="s">
        <v>289</v>
      </c>
      <c r="P49" s="13" t="s">
        <v>290</v>
      </c>
      <c r="Q49" s="13" t="s">
        <v>481</v>
      </c>
      <c r="R49" s="19" t="s">
        <v>482</v>
      </c>
      <c r="S49" s="20" t="s">
        <v>483</v>
      </c>
      <c r="T49" s="13"/>
      <c r="U49" s="22"/>
      <c r="V49" s="22"/>
      <c r="W49" s="22" t="s">
        <v>55</v>
      </c>
      <c r="Z49" s="4" t="s">
        <v>484</v>
      </c>
      <c r="AA49" s="4" t="s">
        <v>485</v>
      </c>
      <c r="AB49" s="4">
        <v>1</v>
      </c>
    </row>
    <row r="50" spans="1:28" ht="24" customHeight="1">
      <c r="A50" s="7"/>
      <c r="B50" s="8">
        <v>44</v>
      </c>
      <c r="C50" s="13" t="s">
        <v>486</v>
      </c>
      <c r="D50" s="13" t="s">
        <v>487</v>
      </c>
      <c r="E50" s="8" t="s">
        <v>93</v>
      </c>
      <c r="F50" s="15">
        <v>25662</v>
      </c>
      <c r="G50" s="16" t="e">
        <f t="shared" si="2"/>
        <v>#N/A</v>
      </c>
      <c r="H50" s="17">
        <f t="shared" ca="1" si="1"/>
        <v>54</v>
      </c>
      <c r="I50" s="13">
        <v>390237</v>
      </c>
      <c r="J50" s="15">
        <v>35558</v>
      </c>
      <c r="K50" s="15">
        <v>35642</v>
      </c>
      <c r="L50" s="18"/>
      <c r="M50" s="13" t="s">
        <v>488</v>
      </c>
      <c r="N50" s="13" t="s">
        <v>489</v>
      </c>
      <c r="O50" s="19" t="s">
        <v>490</v>
      </c>
      <c r="P50" s="13" t="s">
        <v>491</v>
      </c>
      <c r="Q50" s="13" t="s">
        <v>492</v>
      </c>
      <c r="R50" s="19" t="s">
        <v>493</v>
      </c>
      <c r="S50" s="20" t="s">
        <v>494</v>
      </c>
      <c r="T50" s="13"/>
      <c r="U50" s="21"/>
      <c r="V50" s="21"/>
      <c r="W50" s="21" t="s">
        <v>67</v>
      </c>
      <c r="Z50" s="4" t="s">
        <v>495</v>
      </c>
      <c r="AA50" s="34" t="s">
        <v>496</v>
      </c>
      <c r="AB50" s="4">
        <v>1</v>
      </c>
    </row>
    <row r="51" spans="1:28" ht="24" customHeight="1">
      <c r="A51" s="7"/>
      <c r="B51" s="8">
        <v>45</v>
      </c>
      <c r="C51" s="13" t="s">
        <v>497</v>
      </c>
      <c r="D51" s="13" t="s">
        <v>498</v>
      </c>
      <c r="E51" s="23" t="s">
        <v>46</v>
      </c>
      <c r="F51" s="15">
        <v>24276</v>
      </c>
      <c r="G51" s="16" t="e">
        <f t="shared" si="2"/>
        <v>#N/A</v>
      </c>
      <c r="H51" s="17">
        <f t="shared" ca="1" si="1"/>
        <v>58</v>
      </c>
      <c r="I51" s="13">
        <v>347119</v>
      </c>
      <c r="J51" s="15">
        <v>33746</v>
      </c>
      <c r="K51" s="15">
        <v>34137</v>
      </c>
      <c r="L51" s="18"/>
      <c r="M51" s="13" t="s">
        <v>499</v>
      </c>
      <c r="N51" s="13" t="s">
        <v>500</v>
      </c>
      <c r="O51" s="19" t="s">
        <v>501</v>
      </c>
      <c r="P51" s="13" t="s">
        <v>502</v>
      </c>
      <c r="Q51" s="13" t="s">
        <v>500</v>
      </c>
      <c r="R51" s="19" t="s">
        <v>503</v>
      </c>
      <c r="S51" s="20" t="s">
        <v>504</v>
      </c>
      <c r="T51" s="13"/>
      <c r="U51" s="21"/>
      <c r="V51" s="21" t="s">
        <v>505</v>
      </c>
      <c r="W51" s="21" t="s">
        <v>67</v>
      </c>
      <c r="Z51" s="4" t="s">
        <v>506</v>
      </c>
      <c r="AA51" s="4" t="s">
        <v>507</v>
      </c>
      <c r="AB51" s="4">
        <v>1</v>
      </c>
    </row>
    <row r="52" spans="1:28" ht="24" customHeight="1">
      <c r="A52" s="7"/>
      <c r="B52" s="8">
        <v>46</v>
      </c>
      <c r="C52" s="13" t="s">
        <v>508</v>
      </c>
      <c r="D52" s="13" t="s">
        <v>509</v>
      </c>
      <c r="E52" s="36" t="s">
        <v>72</v>
      </c>
      <c r="F52" s="15">
        <v>26416</v>
      </c>
      <c r="G52" s="16" t="e">
        <f t="shared" si="2"/>
        <v>#N/A</v>
      </c>
      <c r="H52" s="17">
        <f t="shared" ca="1" si="1"/>
        <v>52</v>
      </c>
      <c r="I52" s="13">
        <v>428725</v>
      </c>
      <c r="J52" s="15">
        <v>37391</v>
      </c>
      <c r="K52" s="15"/>
      <c r="L52" s="18"/>
      <c r="M52" s="13" t="s">
        <v>510</v>
      </c>
      <c r="N52" s="13" t="s">
        <v>511</v>
      </c>
      <c r="O52" s="19" t="s">
        <v>512</v>
      </c>
      <c r="P52" s="13" t="s">
        <v>513</v>
      </c>
      <c r="Q52" s="13" t="s">
        <v>511</v>
      </c>
      <c r="R52" s="19" t="s">
        <v>512</v>
      </c>
      <c r="S52" s="20" t="s">
        <v>514</v>
      </c>
      <c r="T52" s="13"/>
      <c r="U52" s="22"/>
      <c r="V52" s="22"/>
      <c r="W52" s="22" t="s">
        <v>67</v>
      </c>
      <c r="X52" s="4" t="s">
        <v>515</v>
      </c>
      <c r="Z52" s="28" t="s">
        <v>516</v>
      </c>
      <c r="AA52" s="28" t="s">
        <v>517</v>
      </c>
      <c r="AB52" s="4">
        <v>1</v>
      </c>
    </row>
    <row r="53" spans="1:28" ht="24" customHeight="1">
      <c r="A53" s="7"/>
      <c r="B53" s="8">
        <v>47</v>
      </c>
      <c r="C53" s="13" t="s">
        <v>518</v>
      </c>
      <c r="D53" s="13" t="s">
        <v>519</v>
      </c>
      <c r="E53" s="36" t="s">
        <v>72</v>
      </c>
      <c r="F53" s="15">
        <v>27029</v>
      </c>
      <c r="G53" s="16" t="e">
        <f t="shared" si="2"/>
        <v>#N/A</v>
      </c>
      <c r="H53" s="17">
        <f t="shared" ca="1" si="1"/>
        <v>50</v>
      </c>
      <c r="I53" s="13">
        <v>398000</v>
      </c>
      <c r="J53" s="15">
        <v>35928</v>
      </c>
      <c r="K53" s="15"/>
      <c r="L53" s="18"/>
      <c r="M53" s="13" t="s">
        <v>520</v>
      </c>
      <c r="N53" s="13" t="s">
        <v>521</v>
      </c>
      <c r="O53" s="19" t="s">
        <v>522</v>
      </c>
      <c r="P53" s="13" t="s">
        <v>523</v>
      </c>
      <c r="Q53" s="13" t="s">
        <v>524</v>
      </c>
      <c r="R53" s="37" t="s">
        <v>525</v>
      </c>
      <c r="S53" s="20" t="s">
        <v>526</v>
      </c>
      <c r="T53" s="13"/>
      <c r="U53" s="22"/>
      <c r="V53" s="22"/>
      <c r="W53" s="22" t="s">
        <v>67</v>
      </c>
      <c r="X53" s="4" t="s">
        <v>527</v>
      </c>
      <c r="Y53" s="6">
        <v>45125</v>
      </c>
      <c r="Z53" s="28" t="s">
        <v>528</v>
      </c>
      <c r="AA53" s="28" t="s">
        <v>529</v>
      </c>
      <c r="AB53" s="4">
        <v>1</v>
      </c>
    </row>
    <row r="54" spans="1:28" ht="24" customHeight="1">
      <c r="A54" s="7"/>
      <c r="B54" s="8">
        <v>48</v>
      </c>
      <c r="C54" s="13" t="s">
        <v>530</v>
      </c>
      <c r="D54" s="13" t="s">
        <v>531</v>
      </c>
      <c r="E54" s="23" t="s">
        <v>46</v>
      </c>
      <c r="F54" s="15">
        <v>27844</v>
      </c>
      <c r="G54" s="16" t="e">
        <f t="shared" si="2"/>
        <v>#N/A</v>
      </c>
      <c r="H54" s="17">
        <f t="shared" ca="1" si="1"/>
        <v>48</v>
      </c>
      <c r="I54" s="13">
        <v>426573</v>
      </c>
      <c r="J54" s="15">
        <v>37386</v>
      </c>
      <c r="K54" s="15">
        <v>37403</v>
      </c>
      <c r="L54" s="18"/>
      <c r="M54" s="13"/>
      <c r="N54" s="13"/>
      <c r="O54" s="19"/>
      <c r="P54" s="13"/>
      <c r="Q54" s="13" t="s">
        <v>524</v>
      </c>
      <c r="R54" s="37" t="s">
        <v>525</v>
      </c>
      <c r="S54" s="38" t="s">
        <v>526</v>
      </c>
      <c r="T54" s="13"/>
      <c r="U54" s="21"/>
      <c r="V54" s="21"/>
      <c r="W54" s="21" t="s">
        <v>55</v>
      </c>
      <c r="X54" s="39"/>
      <c r="Y54" s="4" t="s">
        <v>532</v>
      </c>
      <c r="Z54" s="4" t="s">
        <v>533</v>
      </c>
      <c r="AA54" s="4" t="s">
        <v>534</v>
      </c>
      <c r="AB54" s="4">
        <v>1</v>
      </c>
    </row>
    <row r="55" spans="1:28" ht="24" customHeight="1">
      <c r="A55" s="7"/>
      <c r="B55" s="8">
        <v>49</v>
      </c>
      <c r="C55" s="13" t="s">
        <v>535</v>
      </c>
      <c r="D55" s="13" t="s">
        <v>536</v>
      </c>
      <c r="E55" s="14" t="s">
        <v>59</v>
      </c>
      <c r="F55" s="15">
        <v>26451</v>
      </c>
      <c r="G55" s="16" t="e">
        <f t="shared" si="2"/>
        <v>#N/A</v>
      </c>
      <c r="H55" s="17">
        <f t="shared" ca="1" si="1"/>
        <v>52</v>
      </c>
      <c r="I55" s="13">
        <v>419686</v>
      </c>
      <c r="J55" s="15">
        <v>37025</v>
      </c>
      <c r="K55" s="15">
        <v>38231</v>
      </c>
      <c r="L55" s="18"/>
      <c r="M55" s="13" t="s">
        <v>47</v>
      </c>
      <c r="N55" s="13" t="s">
        <v>537</v>
      </c>
      <c r="O55" s="19" t="s">
        <v>49</v>
      </c>
      <c r="P55" s="13" t="s">
        <v>50</v>
      </c>
      <c r="Q55" s="13" t="s">
        <v>538</v>
      </c>
      <c r="R55" s="19" t="s">
        <v>539</v>
      </c>
      <c r="S55" s="20" t="s">
        <v>540</v>
      </c>
      <c r="T55" s="13"/>
      <c r="U55" s="22"/>
      <c r="V55" s="22"/>
      <c r="W55" s="22" t="s">
        <v>55</v>
      </c>
      <c r="Z55" s="4" t="s">
        <v>541</v>
      </c>
      <c r="AA55" s="4">
        <v>197261</v>
      </c>
      <c r="AB55" s="4">
        <v>1</v>
      </c>
    </row>
    <row r="56" spans="1:28" ht="24" customHeight="1">
      <c r="A56" s="7"/>
      <c r="B56" s="8">
        <v>50</v>
      </c>
      <c r="C56" s="13" t="s">
        <v>542</v>
      </c>
      <c r="D56" s="13" t="s">
        <v>543</v>
      </c>
      <c r="E56" s="23" t="s">
        <v>46</v>
      </c>
      <c r="F56" s="15">
        <v>27016</v>
      </c>
      <c r="G56" s="16" t="e">
        <f t="shared" si="2"/>
        <v>#N/A</v>
      </c>
      <c r="H56" s="17">
        <f t="shared" ca="1" si="1"/>
        <v>50</v>
      </c>
      <c r="I56" s="13">
        <v>413194</v>
      </c>
      <c r="J56" s="15" t="s">
        <v>544</v>
      </c>
      <c r="K56" s="15">
        <v>36677</v>
      </c>
      <c r="L56" s="18"/>
      <c r="M56" s="13" t="s">
        <v>246</v>
      </c>
      <c r="N56" s="13" t="s">
        <v>247</v>
      </c>
      <c r="O56" s="19" t="s">
        <v>248</v>
      </c>
      <c r="P56" s="13" t="s">
        <v>249</v>
      </c>
      <c r="Q56" s="13" t="s">
        <v>545</v>
      </c>
      <c r="R56" s="19" t="s">
        <v>546</v>
      </c>
      <c r="S56" s="20" t="s">
        <v>547</v>
      </c>
      <c r="T56" s="13"/>
      <c r="U56" s="22"/>
      <c r="V56" s="22"/>
      <c r="W56" s="22" t="s">
        <v>55</v>
      </c>
      <c r="Z56" s="4" t="s">
        <v>548</v>
      </c>
      <c r="AA56" s="4">
        <v>19731218</v>
      </c>
      <c r="AB56" s="4">
        <v>1</v>
      </c>
    </row>
    <row r="57" spans="1:28" ht="24" customHeight="1">
      <c r="A57" s="7"/>
      <c r="B57" s="8">
        <v>51</v>
      </c>
      <c r="C57" s="13" t="s">
        <v>549</v>
      </c>
      <c r="D57" s="13" t="s">
        <v>550</v>
      </c>
      <c r="E57" s="23" t="s">
        <v>46</v>
      </c>
      <c r="F57" s="15">
        <v>28213</v>
      </c>
      <c r="G57" s="16" t="e">
        <f t="shared" si="2"/>
        <v>#N/A</v>
      </c>
      <c r="H57" s="17">
        <f t="shared" ca="1" si="1"/>
        <v>47</v>
      </c>
      <c r="I57" s="13">
        <v>419699</v>
      </c>
      <c r="J57" s="15">
        <v>37025</v>
      </c>
      <c r="K57" s="15">
        <v>37041</v>
      </c>
      <c r="L57" s="18"/>
      <c r="M57" s="13" t="s">
        <v>551</v>
      </c>
      <c r="N57" s="13" t="s">
        <v>552</v>
      </c>
      <c r="O57" s="19" t="s">
        <v>553</v>
      </c>
      <c r="P57" s="13" t="s">
        <v>554</v>
      </c>
      <c r="Q57" s="13" t="s">
        <v>555</v>
      </c>
      <c r="R57" s="19" t="s">
        <v>556</v>
      </c>
      <c r="S57" s="20" t="s">
        <v>557</v>
      </c>
      <c r="T57" s="20" t="s">
        <v>558</v>
      </c>
      <c r="U57" s="40"/>
      <c r="V57" s="40"/>
      <c r="W57" s="40" t="s">
        <v>55</v>
      </c>
      <c r="Z57" s="4" t="s">
        <v>559</v>
      </c>
      <c r="AA57" s="4" t="s">
        <v>560</v>
      </c>
      <c r="AB57" s="4">
        <v>1</v>
      </c>
    </row>
    <row r="58" spans="1:28" ht="24" customHeight="1">
      <c r="A58" s="7"/>
      <c r="B58" s="8">
        <v>52</v>
      </c>
      <c r="C58" s="13" t="s">
        <v>561</v>
      </c>
      <c r="D58" s="13" t="s">
        <v>562</v>
      </c>
      <c r="E58" s="8" t="s">
        <v>93</v>
      </c>
      <c r="F58" s="15">
        <v>23947</v>
      </c>
      <c r="G58" s="16" t="e">
        <f t="shared" si="2"/>
        <v>#N/A</v>
      </c>
      <c r="H58" s="17">
        <f t="shared" ca="1" si="1"/>
        <v>59</v>
      </c>
      <c r="I58" s="13">
        <v>342384</v>
      </c>
      <c r="J58" s="15">
        <v>33389</v>
      </c>
      <c r="K58" s="15">
        <v>33989</v>
      </c>
      <c r="L58" s="18"/>
      <c r="M58" s="13" t="s">
        <v>316</v>
      </c>
      <c r="N58" s="13" t="s">
        <v>154</v>
      </c>
      <c r="O58" s="19" t="s">
        <v>563</v>
      </c>
      <c r="P58" s="13" t="s">
        <v>564</v>
      </c>
      <c r="Q58" s="13" t="s">
        <v>120</v>
      </c>
      <c r="R58" s="19" t="s">
        <v>565</v>
      </c>
      <c r="S58" s="20" t="s">
        <v>566</v>
      </c>
      <c r="T58" s="13"/>
      <c r="U58" s="22"/>
      <c r="V58" s="22" t="s">
        <v>54</v>
      </c>
      <c r="W58" s="27" t="s">
        <v>157</v>
      </c>
      <c r="Z58" s="4" t="s">
        <v>567</v>
      </c>
      <c r="AA58" s="4">
        <v>34238410522</v>
      </c>
      <c r="AB58" s="4">
        <v>1</v>
      </c>
    </row>
    <row r="59" spans="1:28" ht="24" customHeight="1">
      <c r="A59" s="7"/>
      <c r="B59" s="8">
        <v>53</v>
      </c>
      <c r="C59" s="13" t="s">
        <v>568</v>
      </c>
      <c r="D59" s="13" t="s">
        <v>569</v>
      </c>
      <c r="E59" s="8" t="s">
        <v>93</v>
      </c>
      <c r="F59" s="15">
        <v>16154</v>
      </c>
      <c r="G59" s="16" t="e">
        <f t="shared" si="2"/>
        <v>#N/A</v>
      </c>
      <c r="H59" s="17">
        <f t="shared" ca="1" si="1"/>
        <v>80</v>
      </c>
      <c r="I59" s="13">
        <v>202253</v>
      </c>
      <c r="J59" s="15">
        <v>25350</v>
      </c>
      <c r="K59" s="15"/>
      <c r="L59" s="18"/>
      <c r="M59" s="13"/>
      <c r="N59" s="13"/>
      <c r="O59" s="19"/>
      <c r="P59" s="13"/>
      <c r="Q59" s="13" t="s">
        <v>570</v>
      </c>
      <c r="R59" s="19" t="s">
        <v>571</v>
      </c>
      <c r="S59" s="20" t="s">
        <v>572</v>
      </c>
      <c r="T59" s="13"/>
      <c r="U59" s="22"/>
      <c r="V59" s="22"/>
      <c r="W59" s="22" t="s">
        <v>55</v>
      </c>
      <c r="Z59" s="4" t="s">
        <v>573</v>
      </c>
      <c r="AA59" s="4" t="s">
        <v>574</v>
      </c>
      <c r="AB59" s="4">
        <v>1</v>
      </c>
    </row>
    <row r="60" spans="1:28" ht="24" customHeight="1">
      <c r="A60" s="7" t="s">
        <v>575</v>
      </c>
      <c r="B60" s="8">
        <v>54</v>
      </c>
      <c r="C60" s="13" t="s">
        <v>576</v>
      </c>
      <c r="D60" s="13" t="s">
        <v>577</v>
      </c>
      <c r="E60" s="8" t="s">
        <v>93</v>
      </c>
      <c r="F60" s="15">
        <v>21237</v>
      </c>
      <c r="G60" s="16" t="e">
        <f t="shared" si="2"/>
        <v>#N/A</v>
      </c>
      <c r="H60" s="17">
        <f t="shared" ca="1" si="1"/>
        <v>66</v>
      </c>
      <c r="I60" s="13">
        <v>302222</v>
      </c>
      <c r="J60" s="15">
        <v>31572</v>
      </c>
      <c r="K60" s="15"/>
      <c r="L60" s="18"/>
      <c r="M60" s="13" t="s">
        <v>578</v>
      </c>
      <c r="N60" s="13" t="s">
        <v>579</v>
      </c>
      <c r="O60" s="19" t="s">
        <v>580</v>
      </c>
      <c r="P60" s="13" t="s">
        <v>581</v>
      </c>
      <c r="Q60" s="13" t="s">
        <v>582</v>
      </c>
      <c r="R60" s="19" t="s">
        <v>583</v>
      </c>
      <c r="S60" s="20" t="s">
        <v>584</v>
      </c>
      <c r="T60" s="13"/>
      <c r="U60" s="21"/>
      <c r="V60" s="21"/>
      <c r="W60" s="21" t="s">
        <v>67</v>
      </c>
      <c r="Z60" s="4" t="s">
        <v>585</v>
      </c>
      <c r="AA60" s="4" t="s">
        <v>586</v>
      </c>
      <c r="AB60" s="4">
        <v>1</v>
      </c>
    </row>
    <row r="61" spans="1:28" ht="24" customHeight="1">
      <c r="A61" s="7"/>
      <c r="B61" s="8">
        <v>55</v>
      </c>
      <c r="C61" s="13" t="s">
        <v>587</v>
      </c>
      <c r="D61" s="13" t="s">
        <v>588</v>
      </c>
      <c r="E61" s="8" t="s">
        <v>93</v>
      </c>
      <c r="F61" s="15">
        <v>23192</v>
      </c>
      <c r="G61" s="16" t="e">
        <f t="shared" si="2"/>
        <v>#N/A</v>
      </c>
      <c r="H61" s="17">
        <f t="shared" ca="1" si="1"/>
        <v>61</v>
      </c>
      <c r="I61" s="13">
        <v>342385</v>
      </c>
      <c r="J61" s="15">
        <v>33389</v>
      </c>
      <c r="K61" s="15">
        <v>33989</v>
      </c>
      <c r="L61" s="18"/>
      <c r="M61" s="13" t="s">
        <v>589</v>
      </c>
      <c r="N61" s="13" t="s">
        <v>590</v>
      </c>
      <c r="O61" s="19" t="s">
        <v>591</v>
      </c>
      <c r="P61" s="13" t="s">
        <v>592</v>
      </c>
      <c r="Q61" s="13" t="s">
        <v>593</v>
      </c>
      <c r="R61" s="19" t="s">
        <v>594</v>
      </c>
      <c r="S61" s="20" t="s">
        <v>595</v>
      </c>
      <c r="T61" s="13"/>
      <c r="U61" s="41" t="s">
        <v>1059</v>
      </c>
      <c r="V61" s="21" t="s">
        <v>54</v>
      </c>
      <c r="W61" s="21" t="s">
        <v>67</v>
      </c>
      <c r="Z61" s="4" t="s">
        <v>596</v>
      </c>
      <c r="AA61" s="4" t="s">
        <v>597</v>
      </c>
      <c r="AB61" s="4">
        <v>1</v>
      </c>
    </row>
    <row r="62" spans="1:28" ht="24" customHeight="1">
      <c r="A62" s="7"/>
      <c r="B62" s="8">
        <v>56</v>
      </c>
      <c r="C62" s="13" t="s">
        <v>598</v>
      </c>
      <c r="D62" s="13" t="s">
        <v>599</v>
      </c>
      <c r="E62" s="23" t="s">
        <v>46</v>
      </c>
      <c r="F62" s="15">
        <v>21396</v>
      </c>
      <c r="G62" s="16" t="e">
        <f t="shared" si="2"/>
        <v>#N/A</v>
      </c>
      <c r="H62" s="17">
        <f t="shared" ca="1" si="1"/>
        <v>66</v>
      </c>
      <c r="I62" s="13">
        <v>275485</v>
      </c>
      <c r="J62" s="15">
        <v>30466</v>
      </c>
      <c r="K62" s="15">
        <v>30508</v>
      </c>
      <c r="L62" s="18"/>
      <c r="M62" s="13" t="s">
        <v>600</v>
      </c>
      <c r="N62" s="13" t="s">
        <v>601</v>
      </c>
      <c r="O62" s="19" t="s">
        <v>602</v>
      </c>
      <c r="P62" s="13" t="s">
        <v>603</v>
      </c>
      <c r="Q62" s="13" t="s">
        <v>601</v>
      </c>
      <c r="R62" s="19" t="s">
        <v>604</v>
      </c>
      <c r="S62" s="20" t="s">
        <v>605</v>
      </c>
      <c r="T62" s="13"/>
      <c r="U62" s="29" t="s">
        <v>1060</v>
      </c>
      <c r="V62" s="21" t="s">
        <v>54</v>
      </c>
      <c r="W62" s="21" t="s">
        <v>67</v>
      </c>
      <c r="Z62" s="4" t="s">
        <v>606</v>
      </c>
      <c r="AA62" s="4" t="s">
        <v>607</v>
      </c>
      <c r="AB62" s="4">
        <v>1</v>
      </c>
    </row>
    <row r="63" spans="1:28" ht="24" customHeight="1">
      <c r="A63" s="7"/>
      <c r="B63" s="8">
        <v>57</v>
      </c>
      <c r="C63" s="13" t="s">
        <v>608</v>
      </c>
      <c r="D63" s="13" t="s">
        <v>609</v>
      </c>
      <c r="E63" s="23" t="s">
        <v>46</v>
      </c>
      <c r="F63" s="15">
        <v>26837</v>
      </c>
      <c r="G63" s="16" t="e">
        <f t="shared" si="2"/>
        <v>#N/A</v>
      </c>
      <c r="H63" s="17">
        <f t="shared" ca="1" si="1"/>
        <v>51</v>
      </c>
      <c r="I63" s="13">
        <v>402635</v>
      </c>
      <c r="J63" s="15">
        <v>36286</v>
      </c>
      <c r="K63" s="15">
        <v>38014</v>
      </c>
      <c r="L63" s="18"/>
      <c r="M63" s="13" t="s">
        <v>610</v>
      </c>
      <c r="N63" s="13" t="s">
        <v>611</v>
      </c>
      <c r="O63" s="19" t="s">
        <v>612</v>
      </c>
      <c r="P63" s="13" t="s">
        <v>613</v>
      </c>
      <c r="Q63" s="13" t="s">
        <v>614</v>
      </c>
      <c r="R63" s="19" t="s">
        <v>615</v>
      </c>
      <c r="S63" s="20" t="s">
        <v>616</v>
      </c>
      <c r="T63" s="13"/>
      <c r="U63" s="22"/>
      <c r="V63" s="22"/>
      <c r="W63" s="22" t="s">
        <v>55</v>
      </c>
      <c r="Z63" s="4" t="s">
        <v>617</v>
      </c>
      <c r="AA63" s="4">
        <v>14774</v>
      </c>
      <c r="AB63" s="4">
        <v>1</v>
      </c>
    </row>
    <row r="64" spans="1:28" ht="24" customHeight="1">
      <c r="A64" s="7"/>
      <c r="B64" s="8">
        <v>58</v>
      </c>
      <c r="C64" s="13" t="s">
        <v>618</v>
      </c>
      <c r="D64" s="13" t="s">
        <v>619</v>
      </c>
      <c r="E64" s="8" t="s">
        <v>93</v>
      </c>
      <c r="F64" s="15">
        <v>27548</v>
      </c>
      <c r="G64" s="16" t="e">
        <f t="shared" si="2"/>
        <v>#N/A</v>
      </c>
      <c r="H64" s="17">
        <f t="shared" ca="1" si="1"/>
        <v>49</v>
      </c>
      <c r="I64" s="13">
        <v>426572</v>
      </c>
      <c r="J64" s="15">
        <v>37386</v>
      </c>
      <c r="K64" s="15">
        <v>37403</v>
      </c>
      <c r="L64" s="18"/>
      <c r="M64" s="13" t="s">
        <v>457</v>
      </c>
      <c r="N64" s="13" t="s">
        <v>458</v>
      </c>
      <c r="O64" s="19" t="s">
        <v>459</v>
      </c>
      <c r="P64" s="13" t="s">
        <v>460</v>
      </c>
      <c r="Q64" s="13" t="s">
        <v>458</v>
      </c>
      <c r="R64" s="19" t="s">
        <v>459</v>
      </c>
      <c r="S64" s="20" t="s">
        <v>620</v>
      </c>
      <c r="T64" s="13"/>
      <c r="U64" s="21"/>
      <c r="V64" s="21" t="s">
        <v>54</v>
      </c>
      <c r="W64" s="21" t="s">
        <v>67</v>
      </c>
      <c r="Z64" s="4" t="s">
        <v>621</v>
      </c>
      <c r="AA64" s="4" t="s">
        <v>622</v>
      </c>
      <c r="AB64" s="4">
        <v>1</v>
      </c>
    </row>
    <row r="65" spans="1:28" ht="24" customHeight="1">
      <c r="A65" s="7"/>
      <c r="B65" s="8">
        <v>59</v>
      </c>
      <c r="C65" s="13" t="s">
        <v>623</v>
      </c>
      <c r="D65" s="13" t="s">
        <v>624</v>
      </c>
      <c r="E65" s="8" t="s">
        <v>72</v>
      </c>
      <c r="F65" s="15">
        <v>34515</v>
      </c>
      <c r="G65" s="16" t="e">
        <f t="shared" si="2"/>
        <v>#N/A</v>
      </c>
      <c r="H65" s="17">
        <f t="shared" ca="1" si="1"/>
        <v>30</v>
      </c>
      <c r="I65" s="13">
        <v>580129</v>
      </c>
      <c r="J65" s="15">
        <v>44284</v>
      </c>
      <c r="K65" s="15">
        <v>45017</v>
      </c>
      <c r="L65" s="18"/>
      <c r="M65" s="13" t="s">
        <v>625</v>
      </c>
      <c r="N65" s="13" t="s">
        <v>339</v>
      </c>
      <c r="O65" s="19" t="s">
        <v>626</v>
      </c>
      <c r="P65" s="13" t="s">
        <v>339</v>
      </c>
      <c r="Q65" s="13" t="s">
        <v>627</v>
      </c>
      <c r="R65" s="19" t="s">
        <v>628</v>
      </c>
      <c r="S65" s="20" t="s">
        <v>629</v>
      </c>
      <c r="T65" s="13"/>
      <c r="U65" s="1" t="s">
        <v>630</v>
      </c>
      <c r="V65" s="22"/>
      <c r="W65" s="22" t="s">
        <v>396</v>
      </c>
      <c r="X65" s="42"/>
      <c r="Z65" s="4" t="s">
        <v>631</v>
      </c>
      <c r="AA65" s="4" t="s">
        <v>632</v>
      </c>
      <c r="AB65" s="4">
        <v>1</v>
      </c>
    </row>
    <row r="66" spans="1:28" ht="24" customHeight="1">
      <c r="A66" s="7"/>
      <c r="B66" s="8">
        <v>60</v>
      </c>
      <c r="C66" s="13" t="s">
        <v>633</v>
      </c>
      <c r="D66" s="13" t="s">
        <v>634</v>
      </c>
      <c r="E66" s="8" t="s">
        <v>93</v>
      </c>
      <c r="F66" s="43">
        <v>22596</v>
      </c>
      <c r="G66" s="16" t="e">
        <f t="shared" si="2"/>
        <v>#N/A</v>
      </c>
      <c r="H66" s="17">
        <f t="shared" ca="1" si="1"/>
        <v>62</v>
      </c>
      <c r="I66" s="13">
        <v>326964</v>
      </c>
      <c r="J66" s="15">
        <v>32669</v>
      </c>
      <c r="K66" s="15">
        <v>33612</v>
      </c>
      <c r="L66" s="18"/>
      <c r="M66" s="13"/>
      <c r="N66" s="13"/>
      <c r="O66" s="19"/>
      <c r="P66" s="13"/>
      <c r="Q66" s="13" t="s">
        <v>635</v>
      </c>
      <c r="R66" s="19" t="s">
        <v>636</v>
      </c>
      <c r="S66" s="20"/>
      <c r="T66" s="13"/>
      <c r="U66" s="22"/>
      <c r="V66" s="22"/>
      <c r="W66" s="22" t="s">
        <v>55</v>
      </c>
      <c r="X66" s="4" t="s">
        <v>637</v>
      </c>
      <c r="Z66" s="4" t="s">
        <v>638</v>
      </c>
      <c r="AA66" s="4" t="s">
        <v>639</v>
      </c>
      <c r="AB66" s="4">
        <v>1</v>
      </c>
    </row>
    <row r="67" spans="1:28" ht="24" customHeight="1">
      <c r="A67" s="7"/>
      <c r="B67" s="8">
        <v>61</v>
      </c>
      <c r="C67" s="13" t="s">
        <v>640</v>
      </c>
      <c r="D67" s="13" t="s">
        <v>641</v>
      </c>
      <c r="E67" s="8" t="s">
        <v>72</v>
      </c>
      <c r="F67" s="15">
        <v>28501</v>
      </c>
      <c r="G67" s="16" t="e">
        <f t="shared" si="2"/>
        <v>#N/A</v>
      </c>
      <c r="H67" s="17">
        <f t="shared" ca="1" si="1"/>
        <v>46</v>
      </c>
      <c r="I67" s="13">
        <v>517898</v>
      </c>
      <c r="J67" s="15">
        <v>41726</v>
      </c>
      <c r="K67" s="15">
        <v>42461</v>
      </c>
      <c r="L67" s="18"/>
      <c r="M67" s="13" t="s">
        <v>642</v>
      </c>
      <c r="N67" s="13" t="s">
        <v>154</v>
      </c>
      <c r="O67" s="19" t="s">
        <v>317</v>
      </c>
      <c r="P67" s="13" t="s">
        <v>318</v>
      </c>
      <c r="Q67" s="13" t="s">
        <v>154</v>
      </c>
      <c r="R67" s="19" t="s">
        <v>643</v>
      </c>
      <c r="S67" s="20" t="s">
        <v>644</v>
      </c>
      <c r="T67" s="13"/>
      <c r="U67" s="22"/>
      <c r="V67" s="22" t="s">
        <v>54</v>
      </c>
      <c r="W67" s="27" t="s">
        <v>157</v>
      </c>
      <c r="Z67" s="4" t="s">
        <v>645</v>
      </c>
      <c r="AA67" s="4" t="s">
        <v>646</v>
      </c>
      <c r="AB67" s="4">
        <v>1</v>
      </c>
    </row>
    <row r="68" spans="1:28" ht="24" customHeight="1">
      <c r="A68" s="7"/>
      <c r="B68" s="8">
        <v>62</v>
      </c>
      <c r="C68" s="13" t="s">
        <v>647</v>
      </c>
      <c r="D68" s="13" t="s">
        <v>648</v>
      </c>
      <c r="E68" s="23" t="s">
        <v>46</v>
      </c>
      <c r="F68" s="15">
        <v>18657</v>
      </c>
      <c r="G68" s="16" t="e">
        <f t="shared" si="2"/>
        <v>#N/A</v>
      </c>
      <c r="H68" s="17">
        <f t="shared" ref="H68:H111" ca="1" si="3">DATEDIF(F68,M$1,"Y")</f>
        <v>73</v>
      </c>
      <c r="I68" s="13">
        <v>228706</v>
      </c>
      <c r="J68" s="15">
        <v>27739</v>
      </c>
      <c r="K68" s="15"/>
      <c r="L68" s="18"/>
      <c r="M68" s="13"/>
      <c r="N68" s="13"/>
      <c r="O68" s="19"/>
      <c r="P68" s="13"/>
      <c r="Q68" s="13" t="s">
        <v>579</v>
      </c>
      <c r="R68" s="19" t="s">
        <v>649</v>
      </c>
      <c r="S68" s="20" t="s">
        <v>650</v>
      </c>
      <c r="T68" s="13"/>
      <c r="U68" s="22"/>
      <c r="V68" s="22"/>
      <c r="W68" s="22" t="s">
        <v>651</v>
      </c>
      <c r="X68" s="4" t="s">
        <v>652</v>
      </c>
      <c r="Z68" s="4" t="s">
        <v>653</v>
      </c>
      <c r="AA68" s="4" t="s">
        <v>654</v>
      </c>
      <c r="AB68" s="4">
        <v>1</v>
      </c>
    </row>
    <row r="69" spans="1:28" ht="24" customHeight="1">
      <c r="A69" s="7"/>
      <c r="B69" s="8">
        <v>63</v>
      </c>
      <c r="C69" s="13" t="s">
        <v>655</v>
      </c>
      <c r="D69" s="13" t="s">
        <v>656</v>
      </c>
      <c r="E69" s="14" t="s">
        <v>46</v>
      </c>
      <c r="F69" s="15">
        <v>24018</v>
      </c>
      <c r="G69" s="16" t="e">
        <f t="shared" si="2"/>
        <v>#N/A</v>
      </c>
      <c r="H69" s="17">
        <f t="shared" ca="1" si="3"/>
        <v>58</v>
      </c>
      <c r="I69" s="13">
        <v>342379</v>
      </c>
      <c r="J69" s="15">
        <v>33389</v>
      </c>
      <c r="K69" s="15">
        <v>33989</v>
      </c>
      <c r="L69" s="18"/>
      <c r="M69" s="13" t="s">
        <v>657</v>
      </c>
      <c r="N69" s="13" t="s">
        <v>611</v>
      </c>
      <c r="O69" s="19" t="s">
        <v>612</v>
      </c>
      <c r="P69" s="13" t="s">
        <v>613</v>
      </c>
      <c r="Q69" s="13" t="s">
        <v>658</v>
      </c>
      <c r="R69" s="19" t="s">
        <v>659</v>
      </c>
      <c r="S69" s="20" t="s">
        <v>660</v>
      </c>
      <c r="T69" s="13"/>
      <c r="U69" s="22"/>
      <c r="V69" s="22"/>
      <c r="W69" s="22" t="s">
        <v>55</v>
      </c>
      <c r="Z69" s="4" t="s">
        <v>661</v>
      </c>
      <c r="AA69" s="4">
        <v>19651003</v>
      </c>
      <c r="AB69" s="4">
        <v>1</v>
      </c>
    </row>
    <row r="70" spans="1:28" ht="24" customHeight="1">
      <c r="A70" s="7" t="s">
        <v>662</v>
      </c>
      <c r="B70" s="8">
        <v>64</v>
      </c>
      <c r="C70" s="13" t="s">
        <v>663</v>
      </c>
      <c r="D70" s="13" t="s">
        <v>664</v>
      </c>
      <c r="E70" s="23" t="s">
        <v>46</v>
      </c>
      <c r="F70" s="15">
        <v>22935</v>
      </c>
      <c r="G70" s="16" t="e">
        <f t="shared" si="2"/>
        <v>#N/A</v>
      </c>
      <c r="H70" s="17">
        <f t="shared" ca="1" si="3"/>
        <v>61</v>
      </c>
      <c r="I70" s="13">
        <v>307458</v>
      </c>
      <c r="J70" s="15">
        <v>31924</v>
      </c>
      <c r="K70" s="15">
        <v>32185</v>
      </c>
      <c r="L70" s="18"/>
      <c r="M70" s="13" t="s">
        <v>665</v>
      </c>
      <c r="N70" s="13" t="s">
        <v>666</v>
      </c>
      <c r="O70" s="19" t="s">
        <v>667</v>
      </c>
      <c r="P70" s="13" t="s">
        <v>668</v>
      </c>
      <c r="Q70" s="13" t="s">
        <v>666</v>
      </c>
      <c r="R70" s="19" t="s">
        <v>669</v>
      </c>
      <c r="S70" s="20" t="s">
        <v>670</v>
      </c>
      <c r="T70" s="13"/>
      <c r="U70" s="21"/>
      <c r="V70" s="21"/>
      <c r="W70" s="21" t="s">
        <v>67</v>
      </c>
      <c r="Z70" s="4" t="s">
        <v>671</v>
      </c>
      <c r="AA70" s="4" t="s">
        <v>672</v>
      </c>
      <c r="AB70" s="4">
        <v>1</v>
      </c>
    </row>
    <row r="71" spans="1:28" ht="24" customHeight="1">
      <c r="A71" s="7"/>
      <c r="B71" s="8">
        <v>65</v>
      </c>
      <c r="C71" s="13" t="s">
        <v>673</v>
      </c>
      <c r="D71" s="13" t="s">
        <v>674</v>
      </c>
      <c r="E71" s="8" t="s">
        <v>93</v>
      </c>
      <c r="F71" s="15">
        <v>25496</v>
      </c>
      <c r="G71" s="16" t="e">
        <f t="shared" si="2"/>
        <v>#N/A</v>
      </c>
      <c r="H71" s="17">
        <f t="shared" ca="1" si="3"/>
        <v>54</v>
      </c>
      <c r="I71" s="13">
        <v>372263</v>
      </c>
      <c r="J71" s="15">
        <v>34827</v>
      </c>
      <c r="K71" s="15">
        <v>36280</v>
      </c>
      <c r="L71" s="18"/>
      <c r="M71" s="13" t="s">
        <v>675</v>
      </c>
      <c r="N71" s="13" t="s">
        <v>676</v>
      </c>
      <c r="O71" s="19" t="s">
        <v>677</v>
      </c>
      <c r="P71" s="13" t="s">
        <v>678</v>
      </c>
      <c r="Q71" s="13" t="s">
        <v>679</v>
      </c>
      <c r="R71" s="19" t="s">
        <v>680</v>
      </c>
      <c r="S71" s="20" t="s">
        <v>681</v>
      </c>
      <c r="T71" s="13"/>
      <c r="U71" s="21"/>
      <c r="V71" s="21"/>
      <c r="W71" s="21" t="s">
        <v>55</v>
      </c>
      <c r="Z71" s="4" t="s">
        <v>682</v>
      </c>
      <c r="AA71" s="4" t="s">
        <v>683</v>
      </c>
      <c r="AB71" s="4">
        <v>1</v>
      </c>
    </row>
    <row r="72" spans="1:28" ht="24" customHeight="1">
      <c r="A72" s="7"/>
      <c r="B72" s="8">
        <v>66</v>
      </c>
      <c r="C72" s="13" t="s">
        <v>684</v>
      </c>
      <c r="D72" s="13" t="s">
        <v>685</v>
      </c>
      <c r="E72" s="8" t="s">
        <v>93</v>
      </c>
      <c r="F72" s="15">
        <v>21513</v>
      </c>
      <c r="G72" s="16" t="e">
        <f t="shared" si="2"/>
        <v>#N/A</v>
      </c>
      <c r="H72" s="17">
        <f t="shared" ca="1" si="3"/>
        <v>65</v>
      </c>
      <c r="I72" s="13">
        <v>302133</v>
      </c>
      <c r="J72" s="15">
        <v>31572</v>
      </c>
      <c r="K72" s="15">
        <v>32185</v>
      </c>
      <c r="L72" s="18"/>
      <c r="M72" s="13" t="s">
        <v>686</v>
      </c>
      <c r="N72" s="13" t="s">
        <v>687</v>
      </c>
      <c r="O72" s="19" t="s">
        <v>688</v>
      </c>
      <c r="P72" s="13" t="s">
        <v>689</v>
      </c>
      <c r="Q72" s="13" t="s">
        <v>690</v>
      </c>
      <c r="R72" s="19" t="s">
        <v>688</v>
      </c>
      <c r="S72" s="20" t="s">
        <v>691</v>
      </c>
      <c r="T72" s="13"/>
      <c r="U72" s="22"/>
      <c r="V72" s="22"/>
      <c r="W72" s="22" t="s">
        <v>67</v>
      </c>
      <c r="Z72" s="4" t="s">
        <v>692</v>
      </c>
      <c r="AA72" s="4">
        <v>19581124</v>
      </c>
      <c r="AB72" s="4">
        <v>1</v>
      </c>
    </row>
    <row r="73" spans="1:28" ht="24" customHeight="1">
      <c r="A73" s="7"/>
      <c r="B73" s="8">
        <v>67</v>
      </c>
      <c r="C73" s="13" t="s">
        <v>693</v>
      </c>
      <c r="D73" s="13" t="s">
        <v>694</v>
      </c>
      <c r="E73" s="8" t="s">
        <v>59</v>
      </c>
      <c r="F73" s="15">
        <v>35150</v>
      </c>
      <c r="G73" s="16" t="e">
        <f t="shared" si="2"/>
        <v>#N/A</v>
      </c>
      <c r="H73" s="17">
        <f t="shared" ca="1" si="3"/>
        <v>28</v>
      </c>
      <c r="I73" s="13">
        <v>567402</v>
      </c>
      <c r="J73" s="15">
        <v>43917</v>
      </c>
      <c r="K73" s="15">
        <v>44676</v>
      </c>
      <c r="L73" s="18"/>
      <c r="M73" s="13" t="s">
        <v>695</v>
      </c>
      <c r="N73" s="13" t="s">
        <v>127</v>
      </c>
      <c r="O73" s="19" t="s">
        <v>696</v>
      </c>
      <c r="P73" s="13" t="s">
        <v>129</v>
      </c>
      <c r="Q73" s="13" t="s">
        <v>697</v>
      </c>
      <c r="R73" s="19" t="s">
        <v>698</v>
      </c>
      <c r="S73" s="20" t="s">
        <v>699</v>
      </c>
      <c r="T73" s="13"/>
      <c r="U73" s="22"/>
      <c r="V73" s="22"/>
      <c r="W73" s="27" t="s">
        <v>134</v>
      </c>
      <c r="Z73" s="4" t="s">
        <v>700</v>
      </c>
      <c r="AA73" s="4">
        <v>960326</v>
      </c>
      <c r="AB73" s="4">
        <v>1</v>
      </c>
    </row>
    <row r="74" spans="1:28" ht="24" customHeight="1">
      <c r="A74" s="7"/>
      <c r="B74" s="8">
        <v>68</v>
      </c>
      <c r="C74" s="13" t="s">
        <v>701</v>
      </c>
      <c r="D74" s="13" t="s">
        <v>702</v>
      </c>
      <c r="E74" s="8" t="s">
        <v>93</v>
      </c>
      <c r="F74" s="15">
        <v>19045</v>
      </c>
      <c r="G74" s="16" t="e">
        <f t="shared" si="2"/>
        <v>#N/A</v>
      </c>
      <c r="H74" s="17">
        <f t="shared" ca="1" si="3"/>
        <v>72</v>
      </c>
      <c r="I74" s="13">
        <v>248317</v>
      </c>
      <c r="J74" s="15">
        <v>29018</v>
      </c>
      <c r="K74" s="15"/>
      <c r="L74" s="18"/>
      <c r="M74" s="13" t="s">
        <v>703</v>
      </c>
      <c r="N74" s="13" t="s">
        <v>704</v>
      </c>
      <c r="O74" s="19" t="s">
        <v>705</v>
      </c>
      <c r="P74" s="13" t="s">
        <v>706</v>
      </c>
      <c r="Q74" s="13" t="s">
        <v>707</v>
      </c>
      <c r="R74" s="19" t="s">
        <v>708</v>
      </c>
      <c r="S74" s="20" t="s">
        <v>709</v>
      </c>
      <c r="T74" s="13"/>
      <c r="U74" s="21"/>
      <c r="V74" s="21"/>
      <c r="W74" s="21" t="s">
        <v>67</v>
      </c>
      <c r="Z74" s="4" t="s">
        <v>710</v>
      </c>
      <c r="AA74" s="4" t="s">
        <v>711</v>
      </c>
      <c r="AB74" s="4">
        <v>1</v>
      </c>
    </row>
    <row r="75" spans="1:28" ht="24" customHeight="1">
      <c r="A75" s="7"/>
      <c r="B75" s="8">
        <v>69</v>
      </c>
      <c r="C75" s="13" t="s">
        <v>712</v>
      </c>
      <c r="D75" s="13" t="s">
        <v>713</v>
      </c>
      <c r="E75" s="8" t="s">
        <v>72</v>
      </c>
      <c r="F75" s="15">
        <v>31949</v>
      </c>
      <c r="G75" s="16" t="e">
        <f t="shared" si="2"/>
        <v>#N/A</v>
      </c>
      <c r="H75" s="17">
        <f t="shared" ca="1" si="3"/>
        <v>37</v>
      </c>
      <c r="I75" s="13">
        <v>567851</v>
      </c>
      <c r="J75" s="15">
        <v>43917</v>
      </c>
      <c r="K75" s="15">
        <v>44676</v>
      </c>
      <c r="L75" s="18"/>
      <c r="M75" s="13" t="s">
        <v>126</v>
      </c>
      <c r="N75" s="13" t="s">
        <v>127</v>
      </c>
      <c r="O75" s="19" t="s">
        <v>696</v>
      </c>
      <c r="P75" s="13" t="s">
        <v>129</v>
      </c>
      <c r="Q75" s="13" t="s">
        <v>714</v>
      </c>
      <c r="R75" s="19" t="s">
        <v>715</v>
      </c>
      <c r="S75" s="20"/>
      <c r="T75" s="13" t="s">
        <v>716</v>
      </c>
      <c r="U75" s="22"/>
      <c r="V75" s="22"/>
      <c r="W75" s="27" t="s">
        <v>134</v>
      </c>
      <c r="Z75" s="4" t="s">
        <v>717</v>
      </c>
      <c r="AA75" s="4">
        <v>567851</v>
      </c>
      <c r="AB75" s="4">
        <v>1</v>
      </c>
    </row>
    <row r="76" spans="1:28" ht="24" customHeight="1">
      <c r="A76" s="7"/>
      <c r="B76" s="8">
        <v>70</v>
      </c>
      <c r="C76" s="13" t="s">
        <v>718</v>
      </c>
      <c r="D76" s="13" t="s">
        <v>719</v>
      </c>
      <c r="E76" s="23" t="s">
        <v>46</v>
      </c>
      <c r="F76" s="15">
        <v>14826</v>
      </c>
      <c r="G76" s="16" t="e">
        <f t="shared" si="2"/>
        <v>#N/A</v>
      </c>
      <c r="H76" s="17">
        <f t="shared" ca="1" si="3"/>
        <v>84</v>
      </c>
      <c r="I76" s="13">
        <v>191376</v>
      </c>
      <c r="J76" s="13"/>
      <c r="K76" s="13"/>
      <c r="L76" s="18"/>
      <c r="M76" s="13"/>
      <c r="N76" s="13"/>
      <c r="O76" s="19"/>
      <c r="P76" s="13"/>
      <c r="Q76" s="13" t="s">
        <v>582</v>
      </c>
      <c r="R76" s="19" t="s">
        <v>720</v>
      </c>
      <c r="S76" s="20" t="s">
        <v>721</v>
      </c>
      <c r="T76" s="13"/>
      <c r="U76" s="21"/>
      <c r="V76" s="21"/>
      <c r="W76" s="21" t="s">
        <v>101</v>
      </c>
      <c r="Z76" s="4" t="s">
        <v>722</v>
      </c>
      <c r="AA76" s="4" t="s">
        <v>723</v>
      </c>
      <c r="AB76" s="4">
        <v>1</v>
      </c>
    </row>
    <row r="77" spans="1:28" ht="24" customHeight="1">
      <c r="A77" s="7"/>
      <c r="B77" s="8">
        <v>71</v>
      </c>
      <c r="C77" s="13" t="s">
        <v>724</v>
      </c>
      <c r="D77" s="13" t="s">
        <v>725</v>
      </c>
      <c r="E77" s="14" t="s">
        <v>46</v>
      </c>
      <c r="F77" s="15">
        <v>23604</v>
      </c>
      <c r="G77" s="16" t="e">
        <f t="shared" si="2"/>
        <v>#N/A</v>
      </c>
      <c r="H77" s="17">
        <f t="shared" ca="1" si="3"/>
        <v>60</v>
      </c>
      <c r="I77" s="13">
        <v>321257</v>
      </c>
      <c r="J77" s="15">
        <v>32652</v>
      </c>
      <c r="K77" s="15">
        <v>33035</v>
      </c>
      <c r="L77" s="18"/>
      <c r="M77" s="13" t="s">
        <v>726</v>
      </c>
      <c r="N77" s="13" t="s">
        <v>727</v>
      </c>
      <c r="O77" s="19" t="s">
        <v>728</v>
      </c>
      <c r="P77" s="13" t="s">
        <v>729</v>
      </c>
      <c r="Q77" s="13" t="s">
        <v>730</v>
      </c>
      <c r="R77" s="19" t="s">
        <v>731</v>
      </c>
      <c r="S77" s="20" t="s">
        <v>732</v>
      </c>
      <c r="T77" s="13"/>
      <c r="U77" s="22"/>
      <c r="V77" s="22" t="s">
        <v>505</v>
      </c>
      <c r="W77" s="22" t="s">
        <v>67</v>
      </c>
      <c r="Z77" s="4" t="s">
        <v>733</v>
      </c>
      <c r="AA77" s="4" t="s">
        <v>734</v>
      </c>
      <c r="AB77" s="4">
        <v>1</v>
      </c>
    </row>
    <row r="78" spans="1:28" ht="24" customHeight="1">
      <c r="A78" s="7"/>
      <c r="B78" s="8">
        <v>72</v>
      </c>
      <c r="C78" s="13" t="s">
        <v>735</v>
      </c>
      <c r="D78" s="13" t="s">
        <v>736</v>
      </c>
      <c r="E78" s="14" t="s">
        <v>46</v>
      </c>
      <c r="F78" s="43">
        <v>34514</v>
      </c>
      <c r="G78" s="16" t="e">
        <f t="shared" si="2"/>
        <v>#N/A</v>
      </c>
      <c r="H78" s="17">
        <f t="shared" ca="1" si="3"/>
        <v>30</v>
      </c>
      <c r="I78" s="13">
        <v>557646</v>
      </c>
      <c r="J78" s="15">
        <v>43546</v>
      </c>
      <c r="K78" s="15">
        <v>44287</v>
      </c>
      <c r="L78" s="18"/>
      <c r="M78" s="13" t="s">
        <v>737</v>
      </c>
      <c r="N78" s="13" t="s">
        <v>231</v>
      </c>
      <c r="O78" s="19" t="s">
        <v>289</v>
      </c>
      <c r="P78" s="13" t="s">
        <v>290</v>
      </c>
      <c r="Q78" s="13" t="s">
        <v>154</v>
      </c>
      <c r="R78" s="19" t="s">
        <v>738</v>
      </c>
      <c r="S78" s="20" t="s">
        <v>739</v>
      </c>
      <c r="T78" s="13"/>
      <c r="U78" s="22"/>
      <c r="V78" s="22"/>
      <c r="W78" s="22" t="s">
        <v>396</v>
      </c>
      <c r="Z78" s="4" t="s">
        <v>740</v>
      </c>
      <c r="AA78" s="4">
        <v>19940629</v>
      </c>
      <c r="AB78" s="4">
        <v>1</v>
      </c>
    </row>
    <row r="79" spans="1:28" ht="24" customHeight="1">
      <c r="A79" s="7" t="s">
        <v>741</v>
      </c>
      <c r="B79" s="8">
        <v>73</v>
      </c>
      <c r="C79" s="13" t="s">
        <v>742</v>
      </c>
      <c r="D79" s="13" t="s">
        <v>743</v>
      </c>
      <c r="E79" s="8" t="s">
        <v>93</v>
      </c>
      <c r="F79" s="15">
        <v>19685</v>
      </c>
      <c r="G79" s="16" t="e">
        <f t="shared" si="2"/>
        <v>#N/A</v>
      </c>
      <c r="H79" s="17">
        <f t="shared" ca="1" si="3"/>
        <v>70</v>
      </c>
      <c r="I79" s="13">
        <v>249803</v>
      </c>
      <c r="J79" s="13"/>
      <c r="K79" s="15">
        <v>30620</v>
      </c>
      <c r="L79" s="18"/>
      <c r="M79" s="13" t="s">
        <v>744</v>
      </c>
      <c r="N79" s="13" t="s">
        <v>745</v>
      </c>
      <c r="O79" s="19" t="s">
        <v>746</v>
      </c>
      <c r="P79" s="13" t="s">
        <v>747</v>
      </c>
      <c r="Q79" s="13" t="s">
        <v>745</v>
      </c>
      <c r="R79" s="19" t="s">
        <v>748</v>
      </c>
      <c r="S79" s="20" t="s">
        <v>749</v>
      </c>
      <c r="T79" s="13"/>
      <c r="U79" s="21"/>
      <c r="V79" s="21"/>
      <c r="W79" s="21" t="s">
        <v>67</v>
      </c>
      <c r="Z79" s="4" t="s">
        <v>750</v>
      </c>
      <c r="AA79" s="4" t="s">
        <v>751</v>
      </c>
      <c r="AB79" s="4">
        <v>1</v>
      </c>
    </row>
    <row r="80" spans="1:28" ht="24" customHeight="1">
      <c r="A80" s="7"/>
      <c r="B80" s="8">
        <v>74</v>
      </c>
      <c r="C80" s="13" t="s">
        <v>752</v>
      </c>
      <c r="D80" s="13" t="s">
        <v>753</v>
      </c>
      <c r="E80" s="14" t="s">
        <v>59</v>
      </c>
      <c r="F80" s="15">
        <v>28383</v>
      </c>
      <c r="G80" s="16" t="e">
        <f t="shared" si="2"/>
        <v>#N/A</v>
      </c>
      <c r="H80" s="17">
        <f t="shared" ca="1" si="3"/>
        <v>46</v>
      </c>
      <c r="I80" s="13">
        <v>433619</v>
      </c>
      <c r="J80" s="15">
        <v>37748</v>
      </c>
      <c r="K80" s="15"/>
      <c r="L80" s="18"/>
      <c r="M80" s="13" t="s">
        <v>754</v>
      </c>
      <c r="N80" s="13" t="s">
        <v>268</v>
      </c>
      <c r="O80" s="19" t="s">
        <v>755</v>
      </c>
      <c r="P80" s="13" t="s">
        <v>756</v>
      </c>
      <c r="Q80" s="13" t="s">
        <v>757</v>
      </c>
      <c r="R80" s="19" t="s">
        <v>758</v>
      </c>
      <c r="S80" s="20"/>
      <c r="T80" s="13"/>
      <c r="U80" s="21"/>
      <c r="V80" s="21"/>
      <c r="W80" s="21" t="s">
        <v>67</v>
      </c>
      <c r="Z80" s="4" t="s">
        <v>759</v>
      </c>
      <c r="AA80" s="4">
        <v>16640</v>
      </c>
      <c r="AB80" s="4">
        <v>1</v>
      </c>
    </row>
    <row r="81" spans="1:28" ht="24" customHeight="1">
      <c r="A81" s="7"/>
      <c r="B81" s="8">
        <v>75</v>
      </c>
      <c r="C81" s="13" t="s">
        <v>760</v>
      </c>
      <c r="D81" s="13" t="s">
        <v>761</v>
      </c>
      <c r="E81" s="23" t="s">
        <v>59</v>
      </c>
      <c r="F81" s="15">
        <v>33276</v>
      </c>
      <c r="G81" s="16" t="e">
        <f t="shared" si="2"/>
        <v>#N/A</v>
      </c>
      <c r="H81" s="17">
        <f t="shared" ca="1" si="3"/>
        <v>33</v>
      </c>
      <c r="I81" s="13">
        <v>525097</v>
      </c>
      <c r="J81" s="15">
        <v>42089</v>
      </c>
      <c r="K81" s="15">
        <v>42813</v>
      </c>
      <c r="L81" s="18"/>
      <c r="M81" s="13" t="s">
        <v>762</v>
      </c>
      <c r="N81" s="13" t="s">
        <v>154</v>
      </c>
      <c r="O81" s="19" t="s">
        <v>317</v>
      </c>
      <c r="P81" s="13" t="s">
        <v>153</v>
      </c>
      <c r="Q81" s="13" t="s">
        <v>281</v>
      </c>
      <c r="R81" s="19" t="s">
        <v>763</v>
      </c>
      <c r="S81" s="20" t="s">
        <v>764</v>
      </c>
      <c r="T81" s="13"/>
      <c r="U81" s="22"/>
      <c r="V81" s="22"/>
      <c r="W81" s="27" t="s">
        <v>157</v>
      </c>
      <c r="Z81" s="4" t="s">
        <v>765</v>
      </c>
      <c r="AA81" s="4" t="s">
        <v>766</v>
      </c>
      <c r="AB81" s="4">
        <v>1</v>
      </c>
    </row>
    <row r="82" spans="1:28" ht="24" customHeight="1">
      <c r="A82" s="7"/>
      <c r="B82" s="8">
        <v>76</v>
      </c>
      <c r="C82" s="13" t="s">
        <v>767</v>
      </c>
      <c r="D82" s="13" t="s">
        <v>768</v>
      </c>
      <c r="E82" s="23" t="s">
        <v>72</v>
      </c>
      <c r="F82" s="15">
        <v>35164</v>
      </c>
      <c r="G82" s="16" t="e">
        <f t="shared" si="2"/>
        <v>#N/A</v>
      </c>
      <c r="H82" s="17">
        <f t="shared" ca="1" si="3"/>
        <v>28</v>
      </c>
      <c r="I82" s="13">
        <v>579186</v>
      </c>
      <c r="J82" s="15">
        <v>44284</v>
      </c>
      <c r="K82" s="15">
        <v>45017</v>
      </c>
      <c r="L82" s="18"/>
      <c r="M82" s="13" t="s">
        <v>769</v>
      </c>
      <c r="N82" s="13" t="s">
        <v>127</v>
      </c>
      <c r="O82" s="19" t="s">
        <v>770</v>
      </c>
      <c r="P82" s="13" t="s">
        <v>129</v>
      </c>
      <c r="Q82" s="13" t="s">
        <v>771</v>
      </c>
      <c r="R82" s="19" t="s">
        <v>772</v>
      </c>
      <c r="S82" s="20" t="s">
        <v>773</v>
      </c>
      <c r="T82" s="13"/>
      <c r="U82" s="22"/>
      <c r="V82" s="22"/>
      <c r="W82" s="27" t="s">
        <v>134</v>
      </c>
      <c r="Z82" s="4" t="s">
        <v>774</v>
      </c>
      <c r="AA82" s="4" t="s">
        <v>775</v>
      </c>
      <c r="AB82" s="4">
        <v>1</v>
      </c>
    </row>
    <row r="83" spans="1:28" ht="24" customHeight="1">
      <c r="A83" s="7"/>
      <c r="B83" s="8">
        <v>77</v>
      </c>
      <c r="C83" s="13" t="s">
        <v>776</v>
      </c>
      <c r="D83" s="13" t="s">
        <v>777</v>
      </c>
      <c r="E83" s="8" t="s">
        <v>93</v>
      </c>
      <c r="F83" s="15">
        <v>26188</v>
      </c>
      <c r="G83" s="16" t="e">
        <f t="shared" si="2"/>
        <v>#N/A</v>
      </c>
      <c r="H83" s="17">
        <f t="shared" ca="1" si="3"/>
        <v>52</v>
      </c>
      <c r="I83" s="13">
        <v>380648</v>
      </c>
      <c r="J83" s="15">
        <v>35192</v>
      </c>
      <c r="K83" s="15">
        <v>35216</v>
      </c>
      <c r="L83" s="18"/>
      <c r="M83" s="13" t="s">
        <v>778</v>
      </c>
      <c r="N83" s="13" t="s">
        <v>552</v>
      </c>
      <c r="O83" s="19" t="s">
        <v>553</v>
      </c>
      <c r="P83" s="13" t="s">
        <v>554</v>
      </c>
      <c r="Q83" s="13" t="s">
        <v>779</v>
      </c>
      <c r="R83" s="19" t="s">
        <v>780</v>
      </c>
      <c r="S83" s="20" t="s">
        <v>781</v>
      </c>
      <c r="T83" s="13"/>
      <c r="U83" s="21"/>
      <c r="V83" s="21" t="s">
        <v>54</v>
      </c>
      <c r="W83" s="21" t="s">
        <v>67</v>
      </c>
      <c r="Z83" s="4" t="s">
        <v>782</v>
      </c>
      <c r="AA83" s="4" t="s">
        <v>783</v>
      </c>
      <c r="AB83" s="4">
        <v>1</v>
      </c>
    </row>
    <row r="84" spans="1:28" ht="24" customHeight="1">
      <c r="A84" s="7"/>
      <c r="B84" s="8">
        <v>78</v>
      </c>
      <c r="C84" s="13" t="s">
        <v>784</v>
      </c>
      <c r="D84" s="13" t="s">
        <v>785</v>
      </c>
      <c r="E84" s="23" t="s">
        <v>46</v>
      </c>
      <c r="F84" s="15">
        <v>25956</v>
      </c>
      <c r="G84" s="16" t="e">
        <f t="shared" si="2"/>
        <v>#N/A</v>
      </c>
      <c r="H84" s="17">
        <f t="shared" ca="1" si="3"/>
        <v>53</v>
      </c>
      <c r="I84" s="13">
        <v>379494</v>
      </c>
      <c r="J84" s="15">
        <v>35185</v>
      </c>
      <c r="K84" s="15">
        <v>35223</v>
      </c>
      <c r="L84" s="18"/>
      <c r="M84" s="13" t="s">
        <v>364</v>
      </c>
      <c r="N84" s="13" t="s">
        <v>365</v>
      </c>
      <c r="O84" s="19" t="s">
        <v>786</v>
      </c>
      <c r="P84" s="13" t="s">
        <v>367</v>
      </c>
      <c r="Q84" s="13" t="s">
        <v>214</v>
      </c>
      <c r="R84" s="19" t="s">
        <v>787</v>
      </c>
      <c r="S84" s="20" t="s">
        <v>788</v>
      </c>
      <c r="T84" s="13"/>
      <c r="U84" s="22"/>
      <c r="V84" s="22"/>
      <c r="W84" s="22" t="s">
        <v>55</v>
      </c>
      <c r="Z84" s="4" t="s">
        <v>789</v>
      </c>
      <c r="AA84" s="4">
        <v>19710123</v>
      </c>
      <c r="AB84" s="4">
        <v>1</v>
      </c>
    </row>
    <row r="85" spans="1:28" ht="24" customHeight="1">
      <c r="A85" s="7"/>
      <c r="B85" s="8">
        <v>79</v>
      </c>
      <c r="C85" s="13" t="s">
        <v>790</v>
      </c>
      <c r="D85" s="13" t="s">
        <v>791</v>
      </c>
      <c r="E85" s="8" t="s">
        <v>93</v>
      </c>
      <c r="F85" s="15">
        <v>13420</v>
      </c>
      <c r="G85" s="16" t="e">
        <f t="shared" si="2"/>
        <v>#N/A</v>
      </c>
      <c r="H85" s="17">
        <f t="shared" ca="1" si="3"/>
        <v>87</v>
      </c>
      <c r="I85" s="13">
        <v>182422</v>
      </c>
      <c r="J85" s="15"/>
      <c r="K85" s="15"/>
      <c r="L85" s="18"/>
      <c r="M85" s="13"/>
      <c r="N85" s="13"/>
      <c r="O85" s="19"/>
      <c r="P85" s="13"/>
      <c r="Q85" s="13" t="s">
        <v>792</v>
      </c>
      <c r="R85" s="19" t="s">
        <v>793</v>
      </c>
      <c r="S85" s="20" t="s">
        <v>794</v>
      </c>
      <c r="T85" s="13"/>
      <c r="U85" s="21"/>
      <c r="V85" s="21"/>
      <c r="W85" s="21" t="s">
        <v>101</v>
      </c>
      <c r="Z85" s="4" t="s">
        <v>795</v>
      </c>
      <c r="AA85" s="34" t="s">
        <v>796</v>
      </c>
      <c r="AB85" s="4">
        <v>1</v>
      </c>
    </row>
    <row r="86" spans="1:28" ht="24" customHeight="1">
      <c r="A86" s="7"/>
      <c r="B86" s="8">
        <v>80</v>
      </c>
      <c r="C86" s="13" t="s">
        <v>797</v>
      </c>
      <c r="D86" s="13" t="s">
        <v>798</v>
      </c>
      <c r="E86" s="8" t="s">
        <v>93</v>
      </c>
      <c r="F86" s="15">
        <v>21502</v>
      </c>
      <c r="G86" s="16" t="e">
        <f t="shared" si="2"/>
        <v>#N/A</v>
      </c>
      <c r="H86" s="17">
        <f t="shared" ca="1" si="3"/>
        <v>65</v>
      </c>
      <c r="I86" s="13">
        <v>285086</v>
      </c>
      <c r="J86" s="15">
        <v>30838</v>
      </c>
      <c r="K86" s="15">
        <v>30966</v>
      </c>
      <c r="L86" s="18"/>
      <c r="M86" s="13" t="s">
        <v>799</v>
      </c>
      <c r="N86" s="13" t="s">
        <v>800</v>
      </c>
      <c r="O86" s="19" t="s">
        <v>801</v>
      </c>
      <c r="P86" s="13" t="s">
        <v>802</v>
      </c>
      <c r="Q86" s="13" t="s">
        <v>803</v>
      </c>
      <c r="R86" s="19" t="s">
        <v>804</v>
      </c>
      <c r="S86" s="20" t="s">
        <v>805</v>
      </c>
      <c r="T86" s="13"/>
      <c r="U86" s="22"/>
      <c r="V86" s="22"/>
      <c r="W86" s="22" t="s">
        <v>67</v>
      </c>
      <c r="Z86" s="4" t="s">
        <v>806</v>
      </c>
      <c r="AA86" s="4" t="s">
        <v>807</v>
      </c>
      <c r="AB86" s="4">
        <v>1</v>
      </c>
    </row>
    <row r="87" spans="1:28" ht="24" customHeight="1">
      <c r="A87" s="7"/>
      <c r="B87" s="8">
        <v>81</v>
      </c>
      <c r="C87" s="13" t="s">
        <v>808</v>
      </c>
      <c r="D87" s="13" t="s">
        <v>809</v>
      </c>
      <c r="E87" s="8" t="s">
        <v>72</v>
      </c>
      <c r="F87" s="15">
        <v>35415</v>
      </c>
      <c r="G87" s="16" t="e">
        <f t="shared" si="2"/>
        <v>#N/A</v>
      </c>
      <c r="H87" s="17">
        <f t="shared" ca="1" si="3"/>
        <v>27</v>
      </c>
      <c r="I87" s="13">
        <v>577198</v>
      </c>
      <c r="J87" s="15">
        <v>44280</v>
      </c>
      <c r="K87" s="15">
        <v>45015</v>
      </c>
      <c r="L87" s="18"/>
      <c r="M87" s="13" t="s">
        <v>769</v>
      </c>
      <c r="N87" s="13" t="s">
        <v>127</v>
      </c>
      <c r="O87" s="19" t="s">
        <v>770</v>
      </c>
      <c r="P87" s="13" t="s">
        <v>129</v>
      </c>
      <c r="Q87" s="13" t="s">
        <v>810</v>
      </c>
      <c r="R87" s="19" t="s">
        <v>811</v>
      </c>
      <c r="S87" s="20" t="s">
        <v>812</v>
      </c>
      <c r="T87" s="13"/>
      <c r="U87" s="22"/>
      <c r="V87" s="22"/>
      <c r="W87" s="27" t="s">
        <v>134</v>
      </c>
      <c r="Z87" s="4" t="s">
        <v>813</v>
      </c>
      <c r="AA87" s="4" t="s">
        <v>814</v>
      </c>
      <c r="AB87" s="4">
        <v>1</v>
      </c>
    </row>
    <row r="88" spans="1:28" ht="24" customHeight="1">
      <c r="A88" s="7"/>
      <c r="B88" s="8">
        <v>82</v>
      </c>
      <c r="C88" s="13" t="s">
        <v>815</v>
      </c>
      <c r="D88" s="13" t="s">
        <v>816</v>
      </c>
      <c r="E88" s="8" t="s">
        <v>93</v>
      </c>
      <c r="F88" s="15">
        <v>24344</v>
      </c>
      <c r="G88" s="16" t="e">
        <f t="shared" si="2"/>
        <v>#N/A</v>
      </c>
      <c r="H88" s="17">
        <f t="shared" ca="1" si="3"/>
        <v>57</v>
      </c>
      <c r="I88" s="13">
        <v>352606</v>
      </c>
      <c r="J88" s="15">
        <v>34087</v>
      </c>
      <c r="K88" s="15">
        <v>34171</v>
      </c>
      <c r="L88" s="18"/>
      <c r="M88" s="13" t="s">
        <v>817</v>
      </c>
      <c r="N88" s="13" t="s">
        <v>340</v>
      </c>
      <c r="O88" s="19" t="s">
        <v>818</v>
      </c>
      <c r="P88" s="13" t="s">
        <v>819</v>
      </c>
      <c r="Q88" s="13" t="s">
        <v>340</v>
      </c>
      <c r="R88" s="19" t="s">
        <v>820</v>
      </c>
      <c r="S88" s="20" t="s">
        <v>821</v>
      </c>
      <c r="T88" s="13"/>
      <c r="U88" s="21"/>
      <c r="V88" s="21"/>
      <c r="W88" s="21" t="s">
        <v>67</v>
      </c>
      <c r="Z88" s="4" t="s">
        <v>822</v>
      </c>
      <c r="AA88" s="4" t="s">
        <v>823</v>
      </c>
      <c r="AB88" s="4">
        <v>1</v>
      </c>
    </row>
    <row r="89" spans="1:28" ht="24" customHeight="1">
      <c r="A89" s="7" t="s">
        <v>824</v>
      </c>
      <c r="B89" s="8">
        <v>83</v>
      </c>
      <c r="C89" s="13" t="s">
        <v>825</v>
      </c>
      <c r="D89" s="13" t="s">
        <v>826</v>
      </c>
      <c r="E89" s="14" t="s">
        <v>46</v>
      </c>
      <c r="F89" s="15">
        <v>31637</v>
      </c>
      <c r="G89" s="16" t="e">
        <f t="shared" si="2"/>
        <v>#N/A</v>
      </c>
      <c r="H89" s="17">
        <f t="shared" ca="1" si="3"/>
        <v>38</v>
      </c>
      <c r="I89" s="13">
        <v>497142</v>
      </c>
      <c r="J89" s="15">
        <v>40644</v>
      </c>
      <c r="K89" s="15">
        <v>41381</v>
      </c>
      <c r="L89" s="18"/>
      <c r="M89" s="13" t="s">
        <v>762</v>
      </c>
      <c r="N89" s="13" t="s">
        <v>154</v>
      </c>
      <c r="O89" s="19" t="s">
        <v>317</v>
      </c>
      <c r="P89" s="13" t="s">
        <v>153</v>
      </c>
      <c r="Q89" s="13" t="s">
        <v>827</v>
      </c>
      <c r="R89" s="19" t="s">
        <v>828</v>
      </c>
      <c r="S89" s="20" t="s">
        <v>829</v>
      </c>
      <c r="T89" s="13"/>
      <c r="U89" s="22"/>
      <c r="V89" s="22"/>
      <c r="W89" s="27" t="s">
        <v>157</v>
      </c>
      <c r="Z89" s="4" t="s">
        <v>830</v>
      </c>
      <c r="AA89" s="4" t="s">
        <v>831</v>
      </c>
      <c r="AB89" s="4">
        <v>1</v>
      </c>
    </row>
    <row r="90" spans="1:28" ht="24" customHeight="1">
      <c r="A90" s="7"/>
      <c r="B90" s="8">
        <v>84</v>
      </c>
      <c r="C90" s="13" t="s">
        <v>832</v>
      </c>
      <c r="D90" s="13" t="s">
        <v>833</v>
      </c>
      <c r="E90" s="8" t="s">
        <v>93</v>
      </c>
      <c r="F90" s="15">
        <v>24856</v>
      </c>
      <c r="G90" s="16" t="e">
        <f t="shared" si="2"/>
        <v>#N/A</v>
      </c>
      <c r="H90" s="17">
        <f t="shared" ca="1" si="3"/>
        <v>56</v>
      </c>
      <c r="I90" s="13">
        <v>359854</v>
      </c>
      <c r="J90" s="15">
        <v>34110</v>
      </c>
      <c r="K90" s="15">
        <v>34164</v>
      </c>
      <c r="L90" s="18"/>
      <c r="M90" s="13" t="s">
        <v>834</v>
      </c>
      <c r="N90" s="13" t="s">
        <v>835</v>
      </c>
      <c r="O90" s="19" t="s">
        <v>836</v>
      </c>
      <c r="P90" s="13" t="s">
        <v>837</v>
      </c>
      <c r="Q90" s="13" t="s">
        <v>250</v>
      </c>
      <c r="R90" s="19" t="s">
        <v>838</v>
      </c>
      <c r="S90" s="20" t="s">
        <v>839</v>
      </c>
      <c r="T90" s="13"/>
      <c r="U90" s="21"/>
      <c r="V90" s="21"/>
      <c r="W90" s="21" t="s">
        <v>55</v>
      </c>
      <c r="Z90" s="4" t="s">
        <v>840</v>
      </c>
      <c r="AA90" s="4" t="s">
        <v>841</v>
      </c>
      <c r="AB90" s="4">
        <v>1</v>
      </c>
    </row>
    <row r="91" spans="1:28" ht="24" customHeight="1">
      <c r="A91" s="7"/>
      <c r="B91" s="8">
        <v>85</v>
      </c>
      <c r="C91" s="13" t="s">
        <v>842</v>
      </c>
      <c r="D91" s="13" t="s">
        <v>843</v>
      </c>
      <c r="E91" s="8" t="s">
        <v>93</v>
      </c>
      <c r="F91" s="15">
        <v>20431</v>
      </c>
      <c r="G91" s="16" t="e">
        <f t="shared" si="2"/>
        <v>#N/A</v>
      </c>
      <c r="H91" s="17">
        <f t="shared" ca="1" si="3"/>
        <v>68</v>
      </c>
      <c r="I91" s="13">
        <v>253521</v>
      </c>
      <c r="J91" s="15">
        <v>29379</v>
      </c>
      <c r="K91" s="15"/>
      <c r="L91" s="18"/>
      <c r="M91" s="13" t="s">
        <v>844</v>
      </c>
      <c r="N91" s="13" t="s">
        <v>845</v>
      </c>
      <c r="O91" s="19" t="s">
        <v>846</v>
      </c>
      <c r="P91" s="13" t="s">
        <v>847</v>
      </c>
      <c r="Q91" s="13" t="s">
        <v>845</v>
      </c>
      <c r="R91" s="19" t="s">
        <v>848</v>
      </c>
      <c r="S91" s="20" t="s">
        <v>849</v>
      </c>
      <c r="T91" s="13"/>
      <c r="U91" s="21"/>
      <c r="V91" s="21" t="s">
        <v>850</v>
      </c>
      <c r="W91" s="21" t="s">
        <v>67</v>
      </c>
      <c r="Z91" s="4" t="s">
        <v>851</v>
      </c>
      <c r="AA91" s="4" t="s">
        <v>852</v>
      </c>
    </row>
    <row r="92" spans="1:28" ht="24" customHeight="1">
      <c r="A92" s="7"/>
      <c r="B92" s="8">
        <v>86</v>
      </c>
      <c r="C92" s="13" t="s">
        <v>853</v>
      </c>
      <c r="D92" s="13" t="s">
        <v>854</v>
      </c>
      <c r="E92" s="8" t="s">
        <v>93</v>
      </c>
      <c r="F92" s="15">
        <v>22394</v>
      </c>
      <c r="G92" s="16" t="e">
        <f t="shared" si="2"/>
        <v>#N/A</v>
      </c>
      <c r="H92" s="17">
        <f t="shared" ca="1" si="3"/>
        <v>63</v>
      </c>
      <c r="I92" s="13">
        <v>306106</v>
      </c>
      <c r="J92" s="15">
        <v>31922</v>
      </c>
      <c r="K92" s="15">
        <v>32185</v>
      </c>
      <c r="L92" s="18"/>
      <c r="M92" s="13" t="s">
        <v>855</v>
      </c>
      <c r="N92" s="13" t="s">
        <v>856</v>
      </c>
      <c r="O92" s="19" t="s">
        <v>857</v>
      </c>
      <c r="P92" s="13" t="s">
        <v>858</v>
      </c>
      <c r="Q92" s="13" t="s">
        <v>859</v>
      </c>
      <c r="R92" s="19" t="s">
        <v>860</v>
      </c>
      <c r="S92" s="20" t="s">
        <v>861</v>
      </c>
      <c r="T92" s="13"/>
      <c r="U92" s="21"/>
      <c r="V92" s="21" t="s">
        <v>54</v>
      </c>
      <c r="W92" s="21" t="s">
        <v>67</v>
      </c>
      <c r="Z92" s="4" t="s">
        <v>862</v>
      </c>
      <c r="AA92" s="4" t="s">
        <v>863</v>
      </c>
      <c r="AB92" s="4">
        <v>1</v>
      </c>
    </row>
    <row r="93" spans="1:28" ht="24" customHeight="1">
      <c r="A93" s="7"/>
      <c r="B93" s="8">
        <v>87</v>
      </c>
      <c r="C93" s="13" t="s">
        <v>864</v>
      </c>
      <c r="D93" s="13" t="s">
        <v>865</v>
      </c>
      <c r="E93" s="23" t="s">
        <v>46</v>
      </c>
      <c r="F93" s="15">
        <v>22524</v>
      </c>
      <c r="G93" s="16" t="e">
        <f t="shared" si="2"/>
        <v>#N/A</v>
      </c>
      <c r="H93" s="17">
        <f t="shared" ca="1" si="3"/>
        <v>62</v>
      </c>
      <c r="I93" s="13">
        <v>305093</v>
      </c>
      <c r="J93" s="15">
        <v>31919</v>
      </c>
      <c r="K93" s="15">
        <v>32185</v>
      </c>
      <c r="L93" s="18"/>
      <c r="M93" s="13" t="s">
        <v>866</v>
      </c>
      <c r="N93" s="13" t="s">
        <v>867</v>
      </c>
      <c r="O93" s="19" t="s">
        <v>868</v>
      </c>
      <c r="P93" s="13" t="s">
        <v>869</v>
      </c>
      <c r="Q93" s="13" t="s">
        <v>867</v>
      </c>
      <c r="R93" s="19" t="s">
        <v>868</v>
      </c>
      <c r="S93" s="20" t="s">
        <v>870</v>
      </c>
      <c r="T93" s="13"/>
      <c r="U93" s="21"/>
      <c r="V93" s="21"/>
      <c r="W93" s="21" t="s">
        <v>67</v>
      </c>
      <c r="Z93" s="4" t="s">
        <v>871</v>
      </c>
      <c r="AA93" s="4" t="s">
        <v>872</v>
      </c>
      <c r="AB93" s="4">
        <v>1</v>
      </c>
    </row>
    <row r="94" spans="1:28" ht="24" customHeight="1">
      <c r="A94" s="7"/>
      <c r="B94" s="8">
        <v>88</v>
      </c>
      <c r="C94" s="13" t="s">
        <v>873</v>
      </c>
      <c r="D94" s="13" t="s">
        <v>874</v>
      </c>
      <c r="E94" s="8" t="s">
        <v>93</v>
      </c>
      <c r="F94" s="15">
        <v>17607</v>
      </c>
      <c r="G94" s="16" t="e">
        <f t="shared" si="2"/>
        <v>#N/A</v>
      </c>
      <c r="H94" s="17">
        <f t="shared" ca="1" si="3"/>
        <v>76</v>
      </c>
      <c r="I94" s="13">
        <v>255858</v>
      </c>
      <c r="J94" s="15">
        <v>29393</v>
      </c>
      <c r="K94" s="15">
        <v>30499</v>
      </c>
      <c r="L94" s="18"/>
      <c r="M94" s="13" t="s">
        <v>875</v>
      </c>
      <c r="N94" s="13" t="s">
        <v>521</v>
      </c>
      <c r="O94" s="19" t="s">
        <v>876</v>
      </c>
      <c r="P94" s="13" t="s">
        <v>877</v>
      </c>
      <c r="Q94" s="13" t="s">
        <v>878</v>
      </c>
      <c r="R94" s="19" t="s">
        <v>876</v>
      </c>
      <c r="S94" s="20" t="s">
        <v>879</v>
      </c>
      <c r="T94" s="13"/>
      <c r="U94" s="22"/>
      <c r="V94" s="22"/>
      <c r="W94" s="22" t="s">
        <v>67</v>
      </c>
      <c r="Z94" s="4" t="s">
        <v>880</v>
      </c>
      <c r="AA94" s="4" t="s">
        <v>881</v>
      </c>
      <c r="AB94" s="4">
        <v>1</v>
      </c>
    </row>
    <row r="95" spans="1:28" ht="24" customHeight="1">
      <c r="A95" s="7"/>
      <c r="B95" s="8">
        <v>89</v>
      </c>
      <c r="C95" s="13" t="s">
        <v>882</v>
      </c>
      <c r="D95" s="13" t="s">
        <v>883</v>
      </c>
      <c r="E95" s="8" t="s">
        <v>93</v>
      </c>
      <c r="F95" s="15">
        <v>20515</v>
      </c>
      <c r="G95" s="16" t="e">
        <f t="shared" si="2"/>
        <v>#N/A</v>
      </c>
      <c r="H95" s="17">
        <f t="shared" ca="1" si="3"/>
        <v>68</v>
      </c>
      <c r="I95" s="13">
        <v>270730</v>
      </c>
      <c r="J95" s="15">
        <v>30277</v>
      </c>
      <c r="K95" s="15"/>
      <c r="L95" s="18"/>
      <c r="M95" s="13" t="s">
        <v>875</v>
      </c>
      <c r="N95" s="13" t="s">
        <v>867</v>
      </c>
      <c r="O95" s="19" t="s">
        <v>884</v>
      </c>
      <c r="P95" s="13" t="s">
        <v>885</v>
      </c>
      <c r="Q95" s="13" t="s">
        <v>886</v>
      </c>
      <c r="R95" s="19" t="s">
        <v>887</v>
      </c>
      <c r="S95" s="20" t="s">
        <v>888</v>
      </c>
      <c r="T95" s="13"/>
      <c r="U95" s="22"/>
      <c r="V95" s="22"/>
      <c r="W95" s="22" t="s">
        <v>67</v>
      </c>
      <c r="Z95" s="4" t="s">
        <v>889</v>
      </c>
      <c r="AA95" s="4">
        <v>19821122</v>
      </c>
      <c r="AB95" s="4">
        <v>1</v>
      </c>
    </row>
    <row r="96" spans="1:28" ht="24" customHeight="1">
      <c r="A96" s="7"/>
      <c r="B96" s="8">
        <v>90</v>
      </c>
      <c r="C96" s="13" t="s">
        <v>890</v>
      </c>
      <c r="D96" s="13" t="s">
        <v>891</v>
      </c>
      <c r="E96" s="23" t="s">
        <v>46</v>
      </c>
      <c r="F96" s="15">
        <v>27267</v>
      </c>
      <c r="G96" s="16" t="e">
        <f t="shared" si="2"/>
        <v>#N/A</v>
      </c>
      <c r="H96" s="17">
        <f t="shared" ca="1" si="3"/>
        <v>49</v>
      </c>
      <c r="I96" s="13">
        <v>404050</v>
      </c>
      <c r="J96" s="15">
        <v>36290</v>
      </c>
      <c r="K96" s="15">
        <v>36306</v>
      </c>
      <c r="L96" s="18"/>
      <c r="M96" s="13" t="s">
        <v>892</v>
      </c>
      <c r="N96" s="13" t="s">
        <v>893</v>
      </c>
      <c r="O96" s="19" t="s">
        <v>894</v>
      </c>
      <c r="P96" s="13" t="s">
        <v>895</v>
      </c>
      <c r="Q96" s="13" t="s">
        <v>896</v>
      </c>
      <c r="R96" s="19" t="s">
        <v>897</v>
      </c>
      <c r="S96" s="20" t="s">
        <v>898</v>
      </c>
      <c r="T96" s="13"/>
      <c r="U96" s="22"/>
      <c r="V96" s="22"/>
      <c r="W96" s="22" t="s">
        <v>55</v>
      </c>
      <c r="Z96" s="4" t="s">
        <v>899</v>
      </c>
      <c r="AA96" s="4" t="s">
        <v>900</v>
      </c>
      <c r="AB96" s="4">
        <v>1</v>
      </c>
    </row>
    <row r="97" spans="1:29" ht="24" customHeight="1">
      <c r="A97" s="7"/>
      <c r="B97" s="8">
        <v>91</v>
      </c>
      <c r="C97" s="13" t="s">
        <v>901</v>
      </c>
      <c r="D97" s="13" t="s">
        <v>902</v>
      </c>
      <c r="E97" s="8" t="s">
        <v>93</v>
      </c>
      <c r="F97" s="15">
        <v>23675</v>
      </c>
      <c r="G97" s="16" t="e">
        <f t="shared" si="2"/>
        <v>#N/A</v>
      </c>
      <c r="H97" s="17">
        <f t="shared" ca="1" si="3"/>
        <v>59</v>
      </c>
      <c r="I97" s="13">
        <v>329751</v>
      </c>
      <c r="J97" s="15">
        <v>33016</v>
      </c>
      <c r="K97" s="15">
        <v>33035</v>
      </c>
      <c r="L97" s="18"/>
      <c r="M97" s="13" t="s">
        <v>892</v>
      </c>
      <c r="N97" s="13" t="s">
        <v>893</v>
      </c>
      <c r="O97" s="19" t="s">
        <v>903</v>
      </c>
      <c r="P97" s="13" t="s">
        <v>895</v>
      </c>
      <c r="Q97" s="13" t="s">
        <v>896</v>
      </c>
      <c r="R97" s="19" t="s">
        <v>897</v>
      </c>
      <c r="S97" s="20" t="s">
        <v>898</v>
      </c>
      <c r="T97" s="13"/>
      <c r="U97" s="21"/>
      <c r="V97" s="21" t="s">
        <v>190</v>
      </c>
      <c r="W97" s="21" t="s">
        <v>67</v>
      </c>
      <c r="Z97" s="4" t="s">
        <v>904</v>
      </c>
      <c r="AA97" s="4" t="s">
        <v>905</v>
      </c>
      <c r="AB97" s="4">
        <v>1</v>
      </c>
    </row>
    <row r="98" spans="1:29" ht="24" customHeight="1">
      <c r="A98" s="7"/>
      <c r="B98" s="8">
        <v>92</v>
      </c>
      <c r="C98" s="13" t="s">
        <v>906</v>
      </c>
      <c r="D98" s="13" t="s">
        <v>907</v>
      </c>
      <c r="E98" s="8" t="s">
        <v>93</v>
      </c>
      <c r="F98" s="15">
        <v>27066</v>
      </c>
      <c r="G98" s="16" t="e">
        <f t="shared" si="2"/>
        <v>#N/A</v>
      </c>
      <c r="H98" s="17">
        <f t="shared" ca="1" si="3"/>
        <v>50</v>
      </c>
      <c r="I98" s="13">
        <v>403891</v>
      </c>
      <c r="J98" s="15">
        <v>36290</v>
      </c>
      <c r="K98" s="15">
        <v>36306</v>
      </c>
      <c r="L98" s="18"/>
      <c r="M98" s="13" t="s">
        <v>908</v>
      </c>
      <c r="N98" s="13" t="s">
        <v>909</v>
      </c>
      <c r="O98" s="19" t="s">
        <v>910</v>
      </c>
      <c r="P98" s="13" t="s">
        <v>911</v>
      </c>
      <c r="Q98" s="13" t="s">
        <v>912</v>
      </c>
      <c r="R98" s="19" t="s">
        <v>913</v>
      </c>
      <c r="S98" s="20" t="s">
        <v>914</v>
      </c>
      <c r="T98" s="13"/>
      <c r="U98" s="29" t="s">
        <v>1061</v>
      </c>
      <c r="V98" s="22" t="s">
        <v>54</v>
      </c>
      <c r="W98" s="22" t="s">
        <v>67</v>
      </c>
      <c r="Z98" s="4" t="s">
        <v>915</v>
      </c>
      <c r="AA98" s="4" t="s">
        <v>916</v>
      </c>
      <c r="AB98" s="4">
        <v>1</v>
      </c>
    </row>
    <row r="99" spans="1:29" ht="24" customHeight="1">
      <c r="A99" s="7"/>
      <c r="B99" s="8">
        <v>93</v>
      </c>
      <c r="C99" s="13" t="s">
        <v>917</v>
      </c>
      <c r="D99" s="13" t="s">
        <v>918</v>
      </c>
      <c r="E99" s="8" t="s">
        <v>59</v>
      </c>
      <c r="F99" s="15">
        <v>34630</v>
      </c>
      <c r="G99" s="16" t="e">
        <f>DATESTRING(F99)</f>
        <v>#N/A</v>
      </c>
      <c r="H99" s="17">
        <f ca="1">DATEDIF(F99,M$1,"Y")</f>
        <v>29</v>
      </c>
      <c r="I99" s="13">
        <v>567410</v>
      </c>
      <c r="J99" s="15">
        <v>32959</v>
      </c>
      <c r="K99" s="15">
        <v>44676</v>
      </c>
      <c r="L99" s="18"/>
      <c r="M99" s="13" t="s">
        <v>919</v>
      </c>
      <c r="N99" s="13" t="s">
        <v>127</v>
      </c>
      <c r="O99" s="19" t="s">
        <v>920</v>
      </c>
      <c r="P99" s="13" t="s">
        <v>153</v>
      </c>
      <c r="Q99" s="13" t="s">
        <v>921</v>
      </c>
      <c r="R99" s="19" t="s">
        <v>922</v>
      </c>
      <c r="S99" s="20" t="s">
        <v>923</v>
      </c>
      <c r="T99" s="13"/>
      <c r="U99" s="22"/>
      <c r="V99" s="22"/>
      <c r="W99" s="27" t="s">
        <v>134</v>
      </c>
      <c r="X99" s="4" t="s">
        <v>924</v>
      </c>
      <c r="Z99" s="4" t="s">
        <v>925</v>
      </c>
      <c r="AA99" s="4">
        <v>567410</v>
      </c>
      <c r="AB99" s="4">
        <v>1</v>
      </c>
    </row>
    <row r="100" spans="1:29" ht="24" customHeight="1">
      <c r="A100" s="7"/>
      <c r="B100" s="8">
        <v>94</v>
      </c>
      <c r="C100" s="13" t="s">
        <v>926</v>
      </c>
      <c r="D100" s="13" t="s">
        <v>927</v>
      </c>
      <c r="E100" s="23" t="s">
        <v>46</v>
      </c>
      <c r="F100" s="15">
        <v>25103</v>
      </c>
      <c r="G100" s="16" t="e">
        <f t="shared" si="2"/>
        <v>#N/A</v>
      </c>
      <c r="H100" s="17">
        <f t="shared" ca="1" si="3"/>
        <v>55</v>
      </c>
      <c r="I100" s="13">
        <v>359180</v>
      </c>
      <c r="J100" s="15">
        <v>34108</v>
      </c>
      <c r="K100" s="15">
        <v>35629</v>
      </c>
      <c r="L100" s="18"/>
      <c r="M100" s="13" t="s">
        <v>928</v>
      </c>
      <c r="N100" s="13" t="s">
        <v>929</v>
      </c>
      <c r="O100" s="19" t="s">
        <v>930</v>
      </c>
      <c r="P100" s="13" t="s">
        <v>931</v>
      </c>
      <c r="Q100" s="13" t="s">
        <v>173</v>
      </c>
      <c r="R100" s="19" t="s">
        <v>932</v>
      </c>
      <c r="S100" s="20" t="s">
        <v>933</v>
      </c>
      <c r="T100" s="13"/>
      <c r="U100" s="22"/>
      <c r="V100" s="22"/>
      <c r="W100" s="22" t="s">
        <v>55</v>
      </c>
      <c r="Z100" s="4" t="s">
        <v>934</v>
      </c>
      <c r="AA100" s="4" t="s">
        <v>935</v>
      </c>
      <c r="AB100" s="4">
        <v>1</v>
      </c>
    </row>
    <row r="101" spans="1:29" ht="24" customHeight="1">
      <c r="A101" s="7"/>
      <c r="B101" s="8">
        <v>95</v>
      </c>
      <c r="C101" s="13" t="s">
        <v>936</v>
      </c>
      <c r="D101" s="13" t="s">
        <v>937</v>
      </c>
      <c r="E101" s="14" t="s">
        <v>46</v>
      </c>
      <c r="F101" s="15">
        <v>26726</v>
      </c>
      <c r="G101" s="16" t="e">
        <f t="shared" si="2"/>
        <v>#N/A</v>
      </c>
      <c r="H101" s="17">
        <f t="shared" ca="1" si="3"/>
        <v>51</v>
      </c>
      <c r="I101" s="13">
        <v>393678</v>
      </c>
      <c r="J101" s="15">
        <v>35915</v>
      </c>
      <c r="K101" s="15">
        <v>35947</v>
      </c>
      <c r="L101" s="18"/>
      <c r="M101" s="13" t="s">
        <v>938</v>
      </c>
      <c r="N101" s="13" t="s">
        <v>939</v>
      </c>
      <c r="O101" s="19" t="s">
        <v>940</v>
      </c>
      <c r="P101" s="13" t="s">
        <v>941</v>
      </c>
      <c r="Q101" s="13" t="s">
        <v>942</v>
      </c>
      <c r="R101" s="19" t="s">
        <v>943</v>
      </c>
      <c r="S101" s="20" t="s">
        <v>944</v>
      </c>
      <c r="T101" s="13"/>
      <c r="U101" s="29" t="s">
        <v>1062</v>
      </c>
      <c r="V101" s="21" t="s">
        <v>54</v>
      </c>
      <c r="W101" s="21" t="s">
        <v>67</v>
      </c>
      <c r="Z101" s="4" t="s">
        <v>945</v>
      </c>
      <c r="AA101" s="4" t="s">
        <v>946</v>
      </c>
      <c r="AB101" s="4">
        <v>1</v>
      </c>
    </row>
    <row r="102" spans="1:29" ht="24" customHeight="1">
      <c r="A102" s="7"/>
      <c r="B102" s="8">
        <v>96</v>
      </c>
      <c r="C102" s="13" t="s">
        <v>947</v>
      </c>
      <c r="D102" s="13" t="s">
        <v>948</v>
      </c>
      <c r="E102" s="14" t="s">
        <v>59</v>
      </c>
      <c r="F102" s="15">
        <v>27990</v>
      </c>
      <c r="G102" s="16" t="e">
        <f>DATESTRING(F102)</f>
        <v>#N/A</v>
      </c>
      <c r="H102" s="17">
        <f t="shared" ca="1" si="3"/>
        <v>47</v>
      </c>
      <c r="I102" s="13">
        <v>434411</v>
      </c>
      <c r="J102" s="15">
        <v>37749</v>
      </c>
      <c r="K102" s="15"/>
      <c r="L102" s="18" t="s">
        <v>949</v>
      </c>
      <c r="M102" s="13" t="s">
        <v>950</v>
      </c>
      <c r="N102" s="13" t="s">
        <v>95</v>
      </c>
      <c r="O102" s="19" t="s">
        <v>951</v>
      </c>
      <c r="P102" s="13" t="s">
        <v>952</v>
      </c>
      <c r="Q102" s="13" t="s">
        <v>953</v>
      </c>
      <c r="R102" s="19" t="s">
        <v>954</v>
      </c>
      <c r="S102" s="20" t="s">
        <v>955</v>
      </c>
      <c r="T102" s="13"/>
      <c r="U102" s="22"/>
      <c r="V102" s="22"/>
      <c r="W102" s="27" t="s">
        <v>157</v>
      </c>
      <c r="X102" s="4" t="s">
        <v>956</v>
      </c>
      <c r="Y102" s="6">
        <v>44734</v>
      </c>
      <c r="Z102" s="4" t="s">
        <v>957</v>
      </c>
      <c r="AA102" s="4" t="s">
        <v>958</v>
      </c>
      <c r="AB102" s="4">
        <v>1</v>
      </c>
    </row>
    <row r="103" spans="1:29" ht="24" customHeight="1">
      <c r="A103" s="7" t="s">
        <v>959</v>
      </c>
      <c r="B103" s="8">
        <f>B102+1</f>
        <v>97</v>
      </c>
      <c r="C103" s="13" t="s">
        <v>960</v>
      </c>
      <c r="D103" s="13" t="s">
        <v>961</v>
      </c>
      <c r="E103" s="14" t="s">
        <v>59</v>
      </c>
      <c r="F103" s="15"/>
      <c r="G103" s="16">
        <v>34873</v>
      </c>
      <c r="H103" s="17">
        <f ca="1">DATEDIF(F103,M$1,"Y")</f>
        <v>124</v>
      </c>
      <c r="I103" s="13">
        <v>577183</v>
      </c>
      <c r="J103" s="15">
        <v>44280</v>
      </c>
      <c r="K103" s="15">
        <v>45408</v>
      </c>
      <c r="L103" s="18"/>
      <c r="M103" s="13" t="s">
        <v>962</v>
      </c>
      <c r="N103" s="13" t="s">
        <v>127</v>
      </c>
      <c r="O103" s="19" t="s">
        <v>963</v>
      </c>
      <c r="P103" s="13" t="s">
        <v>129</v>
      </c>
      <c r="Q103" s="13" t="s">
        <v>154</v>
      </c>
      <c r="R103" s="19" t="s">
        <v>964</v>
      </c>
      <c r="S103" s="20"/>
      <c r="T103" s="13" t="s">
        <v>965</v>
      </c>
      <c r="U103" s="1" t="s">
        <v>966</v>
      </c>
      <c r="V103" s="22"/>
      <c r="W103" s="27" t="s">
        <v>134</v>
      </c>
      <c r="Y103" s="6"/>
      <c r="Z103" s="28" t="s">
        <v>967</v>
      </c>
      <c r="AA103" s="28" t="s">
        <v>968</v>
      </c>
      <c r="AB103" s="4">
        <v>1</v>
      </c>
    </row>
    <row r="104" spans="1:29" ht="24" customHeight="1">
      <c r="A104" s="7"/>
      <c r="B104" s="8">
        <v>97</v>
      </c>
      <c r="C104" s="13" t="s">
        <v>969</v>
      </c>
      <c r="D104" s="13" t="s">
        <v>970</v>
      </c>
      <c r="E104" s="8" t="s">
        <v>93</v>
      </c>
      <c r="F104" s="15">
        <v>30561</v>
      </c>
      <c r="G104" s="16" t="e">
        <f t="shared" ref="G104:G111" si="4">DATESTRING(F104)</f>
        <v>#N/A</v>
      </c>
      <c r="H104" s="17">
        <f t="shared" ca="1" si="3"/>
        <v>40</v>
      </c>
      <c r="I104" s="13">
        <v>492096</v>
      </c>
      <c r="J104" s="15">
        <v>40626</v>
      </c>
      <c r="K104" s="15">
        <v>41381</v>
      </c>
      <c r="L104" s="18"/>
      <c r="M104" s="13" t="s">
        <v>762</v>
      </c>
      <c r="N104" s="13" t="s">
        <v>154</v>
      </c>
      <c r="O104" s="19" t="s">
        <v>317</v>
      </c>
      <c r="P104" s="13" t="s">
        <v>153</v>
      </c>
      <c r="Q104" s="13" t="s">
        <v>971</v>
      </c>
      <c r="R104" s="19" t="s">
        <v>972</v>
      </c>
      <c r="S104" s="20" t="s">
        <v>973</v>
      </c>
      <c r="T104" s="13"/>
      <c r="U104" s="22"/>
      <c r="V104" s="22"/>
      <c r="W104" s="27" t="s">
        <v>157</v>
      </c>
      <c r="Z104" s="4" t="s">
        <v>974</v>
      </c>
      <c r="AA104" s="4" t="s">
        <v>975</v>
      </c>
      <c r="AB104" s="4">
        <v>1</v>
      </c>
    </row>
    <row r="105" spans="1:29" ht="24" customHeight="1">
      <c r="A105" s="7"/>
      <c r="B105" s="8">
        <v>98</v>
      </c>
      <c r="C105" s="13" t="s">
        <v>976</v>
      </c>
      <c r="D105" s="13" t="s">
        <v>977</v>
      </c>
      <c r="E105" s="8" t="s">
        <v>93</v>
      </c>
      <c r="F105" s="15">
        <v>18208</v>
      </c>
      <c r="G105" s="16" t="e">
        <f t="shared" si="4"/>
        <v>#N/A</v>
      </c>
      <c r="H105" s="17">
        <f t="shared" ca="1" si="3"/>
        <v>74</v>
      </c>
      <c r="I105" s="13">
        <v>231100</v>
      </c>
      <c r="J105" s="15">
        <v>27916</v>
      </c>
      <c r="K105" s="15"/>
      <c r="L105" s="18"/>
      <c r="M105" s="13" t="s">
        <v>978</v>
      </c>
      <c r="N105" s="13" t="s">
        <v>979</v>
      </c>
      <c r="O105" s="19" t="s">
        <v>980</v>
      </c>
      <c r="P105" s="13" t="s">
        <v>981</v>
      </c>
      <c r="Q105" s="13" t="s">
        <v>979</v>
      </c>
      <c r="R105" s="19" t="s">
        <v>982</v>
      </c>
      <c r="S105" s="20" t="s">
        <v>983</v>
      </c>
      <c r="T105" s="13"/>
      <c r="U105" s="21"/>
      <c r="V105" s="21"/>
      <c r="W105" s="21" t="s">
        <v>67</v>
      </c>
      <c r="Z105" s="4" t="s">
        <v>984</v>
      </c>
      <c r="AA105" s="4" t="s">
        <v>985</v>
      </c>
      <c r="AB105" s="4">
        <v>1</v>
      </c>
    </row>
    <row r="106" spans="1:29" ht="24" customHeight="1">
      <c r="A106" s="7"/>
      <c r="B106" s="8">
        <v>99</v>
      </c>
      <c r="C106" s="13" t="s">
        <v>986</v>
      </c>
      <c r="D106" s="13" t="s">
        <v>987</v>
      </c>
      <c r="E106" s="23" t="s">
        <v>46</v>
      </c>
      <c r="F106" s="15">
        <v>20165</v>
      </c>
      <c r="G106" s="16" t="e">
        <f t="shared" si="4"/>
        <v>#N/A</v>
      </c>
      <c r="H106" s="17">
        <f t="shared" ca="1" si="3"/>
        <v>69</v>
      </c>
      <c r="I106" s="13">
        <v>248297</v>
      </c>
      <c r="J106" s="15">
        <v>29018</v>
      </c>
      <c r="K106" s="15">
        <v>31741</v>
      </c>
      <c r="L106" s="18"/>
      <c r="M106" s="13" t="s">
        <v>988</v>
      </c>
      <c r="N106" s="13" t="s">
        <v>989</v>
      </c>
      <c r="O106" s="19" t="s">
        <v>990</v>
      </c>
      <c r="P106" s="13" t="s">
        <v>991</v>
      </c>
      <c r="Q106" s="13" t="s">
        <v>992</v>
      </c>
      <c r="R106" s="19" t="s">
        <v>982</v>
      </c>
      <c r="S106" s="20" t="s">
        <v>993</v>
      </c>
      <c r="T106" s="13"/>
      <c r="U106" s="22"/>
      <c r="V106" s="22" t="s">
        <v>505</v>
      </c>
      <c r="W106" s="22" t="s">
        <v>67</v>
      </c>
      <c r="Z106" s="4" t="s">
        <v>994</v>
      </c>
      <c r="AA106" s="4" t="s">
        <v>995</v>
      </c>
      <c r="AB106" s="4">
        <v>1</v>
      </c>
    </row>
    <row r="107" spans="1:29" ht="24" customHeight="1">
      <c r="A107" s="7"/>
      <c r="B107" s="8">
        <v>100</v>
      </c>
      <c r="C107" s="13" t="s">
        <v>996</v>
      </c>
      <c r="D107" s="13" t="s">
        <v>997</v>
      </c>
      <c r="E107" s="8" t="s">
        <v>93</v>
      </c>
      <c r="F107" s="15">
        <v>26565</v>
      </c>
      <c r="G107" s="16" t="e">
        <f t="shared" si="4"/>
        <v>#N/A</v>
      </c>
      <c r="H107" s="17">
        <f t="shared" ca="1" si="3"/>
        <v>51</v>
      </c>
      <c r="I107" s="13">
        <v>393581</v>
      </c>
      <c r="J107" s="15">
        <v>35915</v>
      </c>
      <c r="K107" s="15">
        <v>35947</v>
      </c>
      <c r="L107" s="18"/>
      <c r="M107" s="13" t="s">
        <v>998</v>
      </c>
      <c r="N107" s="13" t="s">
        <v>999</v>
      </c>
      <c r="O107" s="19" t="s">
        <v>1000</v>
      </c>
      <c r="P107" s="13" t="s">
        <v>1001</v>
      </c>
      <c r="Q107" s="13" t="s">
        <v>1002</v>
      </c>
      <c r="R107" s="19" t="s">
        <v>1003</v>
      </c>
      <c r="S107" s="13" t="s">
        <v>1004</v>
      </c>
      <c r="T107" s="13"/>
      <c r="U107" s="22"/>
      <c r="V107" s="22" t="s">
        <v>54</v>
      </c>
      <c r="W107" s="22" t="s">
        <v>67</v>
      </c>
      <c r="Z107" s="4" t="s">
        <v>1005</v>
      </c>
      <c r="AA107" s="4" t="s">
        <v>1006</v>
      </c>
      <c r="AB107" s="4">
        <v>1</v>
      </c>
    </row>
    <row r="108" spans="1:29" ht="24" customHeight="1">
      <c r="A108" s="7"/>
      <c r="B108" s="8">
        <v>101</v>
      </c>
      <c r="C108" s="13" t="s">
        <v>1007</v>
      </c>
      <c r="D108" s="13" t="s">
        <v>1008</v>
      </c>
      <c r="E108" s="8" t="s">
        <v>72</v>
      </c>
      <c r="F108" s="15">
        <v>34712</v>
      </c>
      <c r="G108" s="16" t="e">
        <f t="shared" si="4"/>
        <v>#N/A</v>
      </c>
      <c r="H108" s="17">
        <f t="shared" ca="1" si="3"/>
        <v>29</v>
      </c>
      <c r="I108" s="13">
        <v>579434</v>
      </c>
      <c r="J108" s="15">
        <v>44284</v>
      </c>
      <c r="K108" s="15">
        <v>45017</v>
      </c>
      <c r="L108" s="18"/>
      <c r="M108" s="13" t="s">
        <v>246</v>
      </c>
      <c r="N108" s="13" t="s">
        <v>247</v>
      </c>
      <c r="O108" s="19" t="s">
        <v>1009</v>
      </c>
      <c r="P108" s="13" t="s">
        <v>249</v>
      </c>
      <c r="Q108" s="13" t="s">
        <v>730</v>
      </c>
      <c r="R108" s="19" t="s">
        <v>1010</v>
      </c>
      <c r="S108" s="13" t="s">
        <v>1011</v>
      </c>
      <c r="U108" s="3" t="s">
        <v>1012</v>
      </c>
      <c r="V108" s="22"/>
      <c r="W108" s="22" t="s">
        <v>396</v>
      </c>
      <c r="Z108" s="4" t="s">
        <v>1013</v>
      </c>
      <c r="AA108" s="4" t="s">
        <v>1014</v>
      </c>
      <c r="AB108" s="4">
        <v>1</v>
      </c>
    </row>
    <row r="109" spans="1:29" ht="24" customHeight="1">
      <c r="A109" s="7"/>
      <c r="B109" s="8">
        <v>102</v>
      </c>
      <c r="C109" s="13" t="s">
        <v>1015</v>
      </c>
      <c r="D109" s="13" t="s">
        <v>1016</v>
      </c>
      <c r="E109" s="14" t="s">
        <v>46</v>
      </c>
      <c r="F109" s="15">
        <v>28621</v>
      </c>
      <c r="G109" s="16" t="e">
        <f t="shared" si="4"/>
        <v>#N/A</v>
      </c>
      <c r="H109" s="17">
        <f t="shared" ca="1" si="3"/>
        <v>46</v>
      </c>
      <c r="I109" s="13">
        <v>434337</v>
      </c>
      <c r="J109" s="15">
        <v>37749</v>
      </c>
      <c r="K109" s="15">
        <v>37762</v>
      </c>
      <c r="L109" s="18"/>
      <c r="M109" s="13"/>
      <c r="N109" s="13"/>
      <c r="O109" s="19"/>
      <c r="P109" s="13"/>
      <c r="Q109" s="13" t="s">
        <v>1017</v>
      </c>
      <c r="R109" s="19" t="s">
        <v>1018</v>
      </c>
      <c r="S109" s="13" t="s">
        <v>1019</v>
      </c>
      <c r="T109" s="13"/>
      <c r="U109" s="21"/>
      <c r="V109" s="21"/>
      <c r="W109" s="21" t="s">
        <v>101</v>
      </c>
      <c r="X109" s="21" t="s">
        <v>1020</v>
      </c>
      <c r="Z109" s="4" t="s">
        <v>1021</v>
      </c>
      <c r="AA109" s="4" t="s">
        <v>1022</v>
      </c>
      <c r="AC109" s="4" t="s">
        <v>1063</v>
      </c>
    </row>
    <row r="110" spans="1:29" ht="24" customHeight="1">
      <c r="A110" s="7"/>
      <c r="B110" s="8">
        <v>103</v>
      </c>
      <c r="C110" s="13" t="s">
        <v>1023</v>
      </c>
      <c r="D110" s="13" t="s">
        <v>1024</v>
      </c>
      <c r="E110" s="8" t="s">
        <v>93</v>
      </c>
      <c r="F110" s="15">
        <v>20006</v>
      </c>
      <c r="G110" s="16" t="e">
        <f t="shared" si="4"/>
        <v>#N/A</v>
      </c>
      <c r="H110" s="17">
        <f t="shared" ca="1" si="3"/>
        <v>69</v>
      </c>
      <c r="I110" s="13">
        <v>268320</v>
      </c>
      <c r="J110" s="15">
        <v>30104</v>
      </c>
      <c r="K110" s="15"/>
      <c r="L110" s="18"/>
      <c r="M110" s="13" t="s">
        <v>1025</v>
      </c>
      <c r="N110" s="13" t="s">
        <v>1026</v>
      </c>
      <c r="O110" s="19" t="s">
        <v>1027</v>
      </c>
      <c r="P110" s="13" t="s">
        <v>1028</v>
      </c>
      <c r="Q110" s="13" t="s">
        <v>1029</v>
      </c>
      <c r="R110" s="19" t="s">
        <v>1030</v>
      </c>
      <c r="S110" s="13" t="s">
        <v>1031</v>
      </c>
      <c r="T110" s="13"/>
      <c r="U110" s="22"/>
      <c r="V110" s="22"/>
      <c r="W110" s="22" t="s">
        <v>67</v>
      </c>
      <c r="Z110" s="4" t="s">
        <v>1032</v>
      </c>
      <c r="AA110" s="4" t="s">
        <v>1033</v>
      </c>
    </row>
    <row r="111" spans="1:29" ht="24" customHeight="1">
      <c r="A111" s="7" t="s">
        <v>1034</v>
      </c>
      <c r="B111" s="8">
        <v>104</v>
      </c>
      <c r="C111" s="13" t="s">
        <v>1035</v>
      </c>
      <c r="D111" s="13" t="s">
        <v>1036</v>
      </c>
      <c r="E111" s="8" t="s">
        <v>93</v>
      </c>
      <c r="F111" s="15">
        <v>25050</v>
      </c>
      <c r="G111" s="16" t="e">
        <f t="shared" si="4"/>
        <v>#N/A</v>
      </c>
      <c r="H111" s="17">
        <f t="shared" ca="1" si="3"/>
        <v>56</v>
      </c>
      <c r="I111" s="13">
        <v>370381</v>
      </c>
      <c r="J111" s="15">
        <v>34817</v>
      </c>
      <c r="K111" s="13"/>
      <c r="L111" s="18"/>
      <c r="M111" s="13" t="s">
        <v>83</v>
      </c>
      <c r="N111" s="13" t="s">
        <v>84</v>
      </c>
      <c r="O111" s="19" t="s">
        <v>85</v>
      </c>
      <c r="P111" s="13" t="s">
        <v>86</v>
      </c>
      <c r="Q111" s="13" t="s">
        <v>1037</v>
      </c>
      <c r="R111" s="19" t="s">
        <v>1038</v>
      </c>
      <c r="S111" s="13"/>
      <c r="T111" s="13" t="s">
        <v>1039</v>
      </c>
      <c r="U111" s="22"/>
      <c r="V111" s="22"/>
      <c r="W111" s="22" t="s">
        <v>55</v>
      </c>
      <c r="Z111" s="4" t="s">
        <v>1040</v>
      </c>
      <c r="AA111" s="4">
        <v>19680731</v>
      </c>
    </row>
    <row r="112" spans="1:29" ht="24" customHeight="1">
      <c r="A112" s="7"/>
      <c r="B112" s="7"/>
      <c r="E112" s="7"/>
      <c r="F112" s="6"/>
      <c r="G112" s="44"/>
      <c r="H112" s="45"/>
      <c r="J112" s="6"/>
      <c r="L112" s="46"/>
      <c r="O112" s="42"/>
      <c r="R112" s="42"/>
    </row>
    <row r="113" spans="1:18" ht="24" customHeight="1">
      <c r="A113" s="7"/>
      <c r="B113" s="7"/>
      <c r="E113" s="7"/>
      <c r="F113" s="6"/>
      <c r="G113" s="44"/>
      <c r="H113" s="45"/>
      <c r="J113" s="6"/>
      <c r="L113" s="46"/>
      <c r="O113" s="42"/>
      <c r="R113" s="42"/>
    </row>
    <row r="114" spans="1:18">
      <c r="G114" s="4" t="s">
        <v>1041</v>
      </c>
      <c r="I114" s="4" t="s">
        <v>1042</v>
      </c>
      <c r="J114" s="4">
        <f>COUNTIF($E4:$E111,"M")</f>
        <v>62</v>
      </c>
    </row>
    <row r="115" spans="1:18">
      <c r="I115" s="4" t="s">
        <v>1043</v>
      </c>
      <c r="J115" s="4">
        <f>COUNTIF($E4:$E111,"W")</f>
        <v>46</v>
      </c>
    </row>
    <row r="117" spans="1:18">
      <c r="G117" s="4" t="s">
        <v>1044</v>
      </c>
      <c r="H117" s="4" t="s">
        <v>1045</v>
      </c>
      <c r="I117" s="4" t="s">
        <v>1042</v>
      </c>
      <c r="J117" s="4">
        <f ca="1">COUNTIFS($E$4:$E$111,"M",$H$4:$H$111,"&lt;=39")</f>
        <v>9</v>
      </c>
    </row>
    <row r="118" spans="1:18">
      <c r="H118" s="4" t="s">
        <v>1045</v>
      </c>
      <c r="I118" s="4" t="s">
        <v>1043</v>
      </c>
      <c r="J118" s="4">
        <f ca="1">COUNTIFS($E$4:$E$111,"W",$H$4:$H$111,"&lt;=39")</f>
        <v>6</v>
      </c>
    </row>
    <row r="119" spans="1:18">
      <c r="H119" s="4" t="s">
        <v>1046</v>
      </c>
      <c r="I119" s="4" t="s">
        <v>1042</v>
      </c>
      <c r="J119" s="4">
        <f ca="1">COUNTIFS($E$4:$E$111,"M",$H$4:$H$111,"&gt;=40",$H$4:$H$111,"&lt;50")</f>
        <v>4</v>
      </c>
    </row>
    <row r="120" spans="1:18">
      <c r="H120" s="4" t="s">
        <v>1046</v>
      </c>
      <c r="I120" s="4" t="s">
        <v>1043</v>
      </c>
      <c r="J120" s="4">
        <f ca="1">COUNTIFS($E$4:$E$111,"W",$H$4:$H$111,"&gt;=40",$H$4:$H$111,"&lt;50")</f>
        <v>11</v>
      </c>
    </row>
    <row r="121" spans="1:18">
      <c r="H121" s="4" t="s">
        <v>1047</v>
      </c>
      <c r="I121" s="4" t="s">
        <v>1042</v>
      </c>
      <c r="J121" s="4">
        <f ca="1">COUNTIFS($E$4:$E$111,"M",$H$4:$H$111,"&gt;=50",$H$4:$H$111,"&lt;60")</f>
        <v>18</v>
      </c>
    </row>
    <row r="122" spans="1:18">
      <c r="H122" s="4" t="s">
        <v>1047</v>
      </c>
      <c r="I122" s="4" t="s">
        <v>1043</v>
      </c>
      <c r="J122" s="4">
        <f ca="1">COUNTIFS($E$4:$E$111,"W",$H$4:$H$111,"&gt;=50",$H$4:$H$111,"&lt;60")</f>
        <v>12</v>
      </c>
    </row>
    <row r="123" spans="1:18">
      <c r="H123" s="4" t="s">
        <v>1048</v>
      </c>
      <c r="I123" s="4" t="s">
        <v>1042</v>
      </c>
      <c r="J123" s="4">
        <f ca="1">COUNTIFS($E$4:$E$111,"M",$H$4:$H$111,"&gt;=60",$H$4:$H$111,"&lt;70")</f>
        <v>15</v>
      </c>
    </row>
    <row r="124" spans="1:18">
      <c r="H124" s="4" t="s">
        <v>1048</v>
      </c>
      <c r="I124" s="4" t="s">
        <v>1043</v>
      </c>
      <c r="J124" s="4">
        <f ca="1">COUNTIFS($E$4:$E$111,"W",$H$4:$H$111,"&gt;=60",$H$4:$H$111,"&lt;70")</f>
        <v>12</v>
      </c>
    </row>
    <row r="125" spans="1:18">
      <c r="H125" s="4" t="s">
        <v>1049</v>
      </c>
      <c r="I125" s="4" t="s">
        <v>1042</v>
      </c>
      <c r="J125" s="4">
        <f ca="1">COUNTIFS($E$4:$E$111,"M",$H$4:$H$111,"&gt;=70")</f>
        <v>16</v>
      </c>
    </row>
    <row r="126" spans="1:18">
      <c r="H126" s="4" t="s">
        <v>1049</v>
      </c>
      <c r="I126" s="4" t="s">
        <v>1043</v>
      </c>
      <c r="J126" s="4">
        <f ca="1">COUNTIFS($E$4:$E$111,"W",$H$4:$H$111,"&gt;=70")</f>
        <v>5</v>
      </c>
    </row>
    <row r="128" spans="1:18">
      <c r="G128" s="4" t="s">
        <v>1050</v>
      </c>
      <c r="H128" s="4" t="s">
        <v>1045</v>
      </c>
      <c r="I128" s="4" t="s">
        <v>1042</v>
      </c>
      <c r="J128" s="4">
        <f ca="1">COUNTIFS($E$4:$E$111,"M",$H$4:$H$111,"&lt;=39",$V$4:$V$111,"&lt;&gt;")</f>
        <v>0</v>
      </c>
    </row>
    <row r="129" spans="7:10">
      <c r="H129" s="4" t="s">
        <v>1045</v>
      </c>
      <c r="I129" s="4" t="s">
        <v>1043</v>
      </c>
      <c r="J129" s="4">
        <f ca="1">COUNTIFS($E$4:$E$111,"W",$H$4:$H$111,"&lt;=39",$V$4:$V$111,"&lt;&gt;")</f>
        <v>0</v>
      </c>
    </row>
    <row r="130" spans="7:10">
      <c r="H130" s="4" t="s">
        <v>1046</v>
      </c>
      <c r="I130" s="4" t="s">
        <v>1042</v>
      </c>
      <c r="J130" s="4">
        <f ca="1">COUNTIFS($E$4:$E$111,"M",$H$4:$H$111,"&gt;=40",$H$4:$H$111,"&lt;50",$V$4:$V$111,"&lt;&gt;")</f>
        <v>2</v>
      </c>
    </row>
    <row r="131" spans="7:10">
      <c r="H131" s="4" t="s">
        <v>1046</v>
      </c>
      <c r="I131" s="4" t="s">
        <v>1043</v>
      </c>
      <c r="J131" s="4">
        <f ca="1">COUNTIFS($E$4:$E$111,"W",$H$4:$H$111,"&gt;=40",$H$4:$H$111,"&lt;50",$V$4:$V$111,"&lt;&gt;")</f>
        <v>0</v>
      </c>
    </row>
    <row r="132" spans="7:10">
      <c r="H132" s="4" t="s">
        <v>1047</v>
      </c>
      <c r="I132" s="4" t="s">
        <v>1042</v>
      </c>
      <c r="J132" s="4">
        <f ca="1">COUNTIFS($E$4:$E$111,"M",$H$4:$H$111,"&gt;=50",$H$4:$H$111,"&lt;60",$V$4:$V$111,"&lt;&gt;")</f>
        <v>7</v>
      </c>
    </row>
    <row r="133" spans="7:10">
      <c r="H133" s="4" t="s">
        <v>1047</v>
      </c>
      <c r="I133" s="4" t="s">
        <v>1043</v>
      </c>
      <c r="J133" s="4">
        <f ca="1">COUNTIFS($E$4:$E$111,"W",$H$4:$H$111,"&gt;=50",$H$4:$H$111,"&lt;60",$V$4:$V$111,"&lt;&gt;")</f>
        <v>3</v>
      </c>
    </row>
    <row r="134" spans="7:10">
      <c r="H134" s="4" t="s">
        <v>1048</v>
      </c>
      <c r="I134" s="4" t="s">
        <v>1042</v>
      </c>
      <c r="J134" s="4">
        <f ca="1">COUNTIFS($E$4:$E$111,"M",$H$4:$H$111,"&gt;=60",$H$4:$H$111,"&lt;70",$V$4:$V$111,"&lt;&gt;")</f>
        <v>6</v>
      </c>
    </row>
    <row r="135" spans="7:10">
      <c r="H135" s="4" t="s">
        <v>1048</v>
      </c>
      <c r="I135" s="4" t="s">
        <v>1043</v>
      </c>
      <c r="J135" s="4">
        <f ca="1">COUNTIFS($E$4:$E$111,"W",$H$4:$H$111,"&gt;=60",$H$4:$H$111,"&lt;70",$V$4:$V$111,"&lt;&gt;")</f>
        <v>3</v>
      </c>
    </row>
    <row r="136" spans="7:10">
      <c r="H136" s="4" t="s">
        <v>1049</v>
      </c>
      <c r="I136" s="4" t="s">
        <v>1042</v>
      </c>
      <c r="J136" s="4">
        <f ca="1">COUNTIFS($E$4:$E$111,"M",$H$4:$H$111,"&gt;=70",$V$4:$V$111,"&lt;&gt;")</f>
        <v>0</v>
      </c>
    </row>
    <row r="137" spans="7:10">
      <c r="H137" s="4" t="s">
        <v>1049</v>
      </c>
      <c r="I137" s="4" t="s">
        <v>1043</v>
      </c>
      <c r="J137" s="4">
        <f ca="1">COUNTIFS($E$4:$E$111,"W",$H$4:$H$111,"&gt;=70",$V$4:$V$111,"&lt;&gt;")</f>
        <v>0</v>
      </c>
    </row>
    <row r="140" spans="7:10">
      <c r="G140" s="4" t="s">
        <v>1051</v>
      </c>
      <c r="J140" s="4">
        <f>COUNTIFS($W$4:$W$111,"A*")</f>
        <v>45</v>
      </c>
    </row>
    <row r="141" spans="7:10">
      <c r="G141" s="4" t="s">
        <v>1052</v>
      </c>
      <c r="J141" s="4">
        <f>COUNTIFS($W$4:$W$111,"B*")</f>
        <v>39</v>
      </c>
    </row>
    <row r="142" spans="7:10">
      <c r="G142" s="4" t="s">
        <v>1053</v>
      </c>
      <c r="J142" s="4">
        <f>COUNTIFS($W$4:$W$111,"C*")</f>
        <v>15</v>
      </c>
    </row>
    <row r="143" spans="7:10">
      <c r="G143" s="4" t="s">
        <v>1054</v>
      </c>
      <c r="J143" s="4">
        <f>COUNTIFS($W$4:$W$111,"D*")</f>
        <v>1</v>
      </c>
    </row>
    <row r="144" spans="7:10">
      <c r="G144" s="4" t="s">
        <v>1055</v>
      </c>
      <c r="J144" s="4">
        <f>COUNTIFS($W$4:$W$111,"免除*")</f>
        <v>8</v>
      </c>
    </row>
  </sheetData>
  <phoneticPr fontId="6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AA1A1A89-EC8E-4C09-A501-3A8947ED05D5}"/>
    <hyperlink ref="U65" r:id="rId2" xr:uid="{9FD2BC5B-5C81-48CB-91CB-CC234FAA0549}"/>
    <hyperlink ref="U108" r:id="rId3" xr:uid="{A7F4BC26-DE52-4DC2-85D9-44784D54E147}"/>
    <hyperlink ref="U39" r:id="rId4" xr:uid="{FAF6FE79-F5F4-4134-9206-A3D64666A958}"/>
    <hyperlink ref="U11" r:id="rId5" xr:uid="{C89E8D15-0E41-4BBB-99A3-DEE9052A1675}"/>
    <hyperlink ref="U18" r:id="rId6" xr:uid="{59C2C56E-52A9-4057-A600-ACA5F6A09AD1}"/>
    <hyperlink ref="U103" r:id="rId7" xr:uid="{98B2A05B-187D-47F5-AADD-CE510A02A0AE}"/>
    <hyperlink ref="U17" r:id="rId8" xr:uid="{D99EEE99-9779-42BA-857A-5E1EFDCC7342}"/>
    <hyperlink ref="U24" r:id="rId9" display="mailto:chihirok@vm01.vaio.ne.jp" xr:uid="{5D38D880-2B6E-45F2-BA5F-A33E4A02A14E}"/>
    <hyperlink ref="U62" r:id="rId10" xr:uid="{8F648987-C990-45D1-BBE9-FC586E1ED2DB}"/>
    <hyperlink ref="U101" r:id="rId11" display="mailto:metoki-eyeclinic@kdp.biglobe.ne.jp" xr:uid="{AB98E0A2-2144-4FA1-B8DC-B606E5383774}"/>
    <hyperlink ref="U61" r:id="rId12" xr:uid="{B3F89693-D572-445F-BFD4-B2BED5A1BE51}"/>
    <hyperlink ref="U98" r:id="rId13" display="mailto:yasumiya026@yahoo.co.jp" xr:uid="{220A913E-7A93-479D-8A89-E5D388712BC0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E276C-83A8-4060-B76B-29DB6C750B73}">
  <sheetPr codeName="Sheet3"/>
  <dimension ref="A1:I4"/>
  <sheetViews>
    <sheetView tabSelected="1" workbookViewId="0">
      <selection activeCell="G12" sqref="G12"/>
    </sheetView>
  </sheetViews>
  <sheetFormatPr defaultRowHeight="14.5"/>
  <cols>
    <col min="1" max="1" width="16.81640625" bestFit="1" customWidth="1"/>
    <col min="2" max="2" width="11.26953125" bestFit="1" customWidth="1"/>
    <col min="3" max="3" width="23.08984375" bestFit="1" customWidth="1"/>
    <col min="4" max="4" width="5.726562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7" t="s">
        <v>1076</v>
      </c>
      <c r="B1" s="47" t="s">
        <v>1077</v>
      </c>
      <c r="C1" s="47" t="s">
        <v>1078</v>
      </c>
      <c r="D1" s="47" t="s">
        <v>1079</v>
      </c>
      <c r="E1" s="47" t="s">
        <v>1080</v>
      </c>
      <c r="F1" s="47" t="s">
        <v>1081</v>
      </c>
      <c r="G1" s="47" t="s">
        <v>1082</v>
      </c>
      <c r="H1" s="47" t="s">
        <v>1083</v>
      </c>
      <c r="I1" t="s">
        <v>1084</v>
      </c>
    </row>
    <row r="2" spans="1:9">
      <c r="A2" t="s">
        <v>1075</v>
      </c>
      <c r="B2" t="s">
        <v>1074</v>
      </c>
      <c r="C2" t="s">
        <v>1085</v>
      </c>
      <c r="D2" t="s">
        <v>1067</v>
      </c>
      <c r="E2" t="s">
        <v>1068</v>
      </c>
      <c r="F2" t="s">
        <v>1086</v>
      </c>
      <c r="G2">
        <v>3</v>
      </c>
      <c r="H2" t="s">
        <v>1087</v>
      </c>
      <c r="I2" s="48" t="s">
        <v>1070</v>
      </c>
    </row>
    <row r="3" spans="1:9">
      <c r="A3" t="s">
        <v>1075</v>
      </c>
      <c r="B3" t="s">
        <v>1074</v>
      </c>
      <c r="C3" t="s">
        <v>1066</v>
      </c>
      <c r="D3" t="s">
        <v>1067</v>
      </c>
      <c r="E3" t="s">
        <v>1068</v>
      </c>
      <c r="F3" t="s">
        <v>1065</v>
      </c>
      <c r="G3">
        <v>10</v>
      </c>
      <c r="H3" t="s">
        <v>1069</v>
      </c>
      <c r="I3" s="48" t="s">
        <v>1070</v>
      </c>
    </row>
    <row r="4" spans="1:9">
      <c r="A4" t="s">
        <v>1075</v>
      </c>
      <c r="B4" t="s">
        <v>1074</v>
      </c>
      <c r="C4" t="s">
        <v>1066</v>
      </c>
      <c r="D4" t="s">
        <v>1067</v>
      </c>
      <c r="E4" t="s">
        <v>1072</v>
      </c>
      <c r="F4" t="s">
        <v>1071</v>
      </c>
      <c r="G4">
        <v>101</v>
      </c>
      <c r="H4" t="s">
        <v>1073</v>
      </c>
      <c r="I4" s="48" t="s">
        <v>1070</v>
      </c>
    </row>
  </sheetData>
  <sortState xmlns:xlrd2="http://schemas.microsoft.com/office/spreadsheetml/2017/richdata2" ref="A2:I4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青森県眼科医会事務局</dc:creator>
  <cp:lastModifiedBy>しおり 浦山</cp:lastModifiedBy>
  <dcterms:created xsi:type="dcterms:W3CDTF">2015-06-05T18:19:34Z</dcterms:created>
  <dcterms:modified xsi:type="dcterms:W3CDTF">2024-08-15T23:41:25Z</dcterms:modified>
</cp:coreProperties>
</file>