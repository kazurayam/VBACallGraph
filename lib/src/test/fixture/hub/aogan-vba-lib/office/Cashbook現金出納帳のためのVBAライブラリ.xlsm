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3629026E-1360-42FD-864D-4B297F3D3797}"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<sst xmlns="http://schemas.openxmlformats.org/spreadsheetml/2006/main" count="2265" uniqueCount="572">
  <si>
    <t>青森県眼科医会の現金出納帳Excelファイルのパス</t>
  </si>
  <si>
    <t>.\data\現金出納帳_青森県眼科医会_令和4年度.xlsm</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</si>
  <si>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</si>
  <si>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</si>
  <si>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</si>
  <si>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</si>
  <si>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</si>
  <si>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</si>
  <si>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</si>
  <si>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</si>
  <si>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</si>
  <si>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</si>
  <si>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</si>
  <si>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</si>
  <si>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</si>
  <si>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</si>
  <si>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</si>
  <si>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</si>
  <si>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</si>
  <si>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</si>
  <si>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</si>
  <si>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</si>
  <si>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</si>
  <si>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</si>
  <si>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</si>
  <si>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</si>
  <si>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</si>
  <si>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</si>
  <si>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</si>
  <si>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</si>
  <si>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</si>
  <si>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</si>
  <si>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</si>
  <si>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</si>
  <si>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</si>
  <si>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</si>
  <si>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.\data\現金出納帳_東北眼科医会連合会青森県代表_令和4年度.xlsm</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</si>
  <si>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</si>
  <si>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</si>
  <si>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</si>
  <si>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</si>
  <si>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</si>
  <si>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</si>
  <si>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</si>
  <si>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</si>
  <si>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</si>
  <si>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</si>
  <si>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</si>
  <si>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</si>
  <si>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</si>
  <si>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</si>
  <si>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</si>
  <si>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</si>
  <si>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</si>
  <si>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</si>
  <si>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</si>
  <si>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</si>
  <si>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</si>
  <si>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</si>
  <si>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</si>
  <si>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</si>
  <si>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</si>
  <si>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</si>
  <si>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</si>
  <si>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</si>
  <si>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</si>
  <si>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</si>
  <si>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</si>
  <si>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</si>
  <si>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</si>
  <si>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</si>
  <si>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</si>
  <si>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</si>
  <si>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</si>
  <si>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</si>
  <si>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</si>
  <si>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</si>
  <si>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</si>
  <si>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</si>
  <si>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</si>
  <si>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</si>
  <si>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</si>
  <si>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</si>
  <si>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</si>
  <si>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</si>
  <si>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</si>
  <si>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</si>
  <si>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</si>
  <si>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</si>
  <si>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</si>
  <si>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</si>
  <si>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</si>
  <si>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</si>
  <si>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</si>
  <si>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</si>
  <si>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</si>
  <si>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</si>
  <si>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</si>
  <si>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</si>
  <si>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</si>
  <si>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</si>
  <si>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</si>
  <si>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</si>
  <si>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</si>
  <si>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</si>
  <si>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</si>
  <si>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</si>
  <si>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</si>
  <si>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</si>
  <si>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</si>
  <si>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</si>
  <si>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</si>
  <si>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</si>
  <si>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</si>
  <si>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</si>
  <si>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</si>
  <si>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</si>
  <si>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</si>
  <si>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</si>
  <si>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</si>
  <si>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</si>
  <si>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</si>
  <si>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</si>
  <si>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</si>
  <si>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</si>
  <si>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</si>
  <si>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</si>
  <si>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</si>
  <si>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</si>
  <si>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</si>
  <si>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</si>
  <si>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</si>
  <si>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</si>
  <si>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</si>
  <si>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</si>
  <si>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</si>
  <si>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</si>
  <si>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</si>
  <si>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</si>
  <si>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</si>
  <si>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</si>
  <si>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</si>
  <si>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</si>
  <si>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</si>
  <si>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</si>
  <si>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</si>
  <si>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</si>
  <si>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</si>
  <si>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</si>
  <si>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</si>
  <si>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</si>
  <si>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</si>
  <si>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</si>
  <si>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</si>
  <si>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</si>
  <si>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</si>
  <si>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</si>
  <si>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</si>
  <si>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</si>
  <si>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</si>
  <si>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</si>
  <si>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</si>
  <si>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</si>
  <si>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</si>
  <si>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</si>
  <si>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</si>
  <si>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</si>
  <si>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</si>
  <si>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</si>
  <si>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</si>
  <si>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</si>
  <si>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</si>
  <si>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</si>
  <si>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</si>
  <si>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</si>
  <si>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</si>
  <si>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</si>
  <si>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</si>
  <si>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</si>
  <si>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</si>
  <si>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</si>
  <si>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</si>
  <si>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</si>
  <si>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</si>
  <si>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</si>
  <si>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</si>
  <si>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</si>
  <si>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</si>
  <si>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</si>
  <si>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</si>
  <si>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</si>
  <si>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</si>
  <si>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</si>
  <si>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</si>
  <si>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</si>
  <si>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</si>
  <si>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</si>
  <si>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</si>
  <si>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</si>
  <si>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</si>
  <si>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</si>
  <si>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</si>
  <si>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</si>
  <si>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</si>
  <si>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</si>
  <si>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</si>
  <si>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</si>
  <si>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</si>
  <si>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</si>
  <si>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</si>
  <si>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</si>
  <si>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</si>
  <si>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</si>
  <si>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</si>
  <si>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</si>
  <si>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</si>
  <si>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</si>
  <si>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</si>
  <si>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</si>
  <si>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</si>
  <si>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</si>
  <si>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</si>
  <si>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</si>
  <si>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</si>
  <si>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</si>
  <si>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</si>
  <si>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</si>
  <si>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</si>
  <si>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</si>
  <si>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</si>
  <si>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</si>
  <si>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</si>
  <si>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</si>
  <si>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</si>
  <si>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</si>
  <si>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</si>
  <si>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</si>
  <si>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</si>
  <si>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</si>
  <si>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</si>
  <si>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</si>
  <si>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</si>
  <si>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</si>
  <si>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</si>
  <si>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</si>
  <si>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</si>
  <si>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</si>
  <si>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</si>
  <si>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</si>
  <si>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</si>
  <si>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</si>
  <si>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</si>
  <si>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</si>
  <si>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</si>
  <si>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</si>
  <si>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</si>
  <si>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</si>
  <si>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</si>
  <si>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</si>
  <si>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</si>
  <si>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</si>
  <si>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</si>
  <si>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</si>
  <si>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</si>
  <si>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</si>
  <si>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</si>
  <si>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</si>
  <si>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</si>
  <si>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</si>
  <si>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</si>
  <si>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</si>
  <si>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</si>
  <si>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</si>
  <si>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</si>
  <si>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</si>
  <si>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</si>
  <si>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</si>
  <si>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</si>
  <si>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</si>
  <si>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</si>
  <si>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</si>
  <si>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</si>
  <si>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</si>
  <si>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</si>
  <si>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</si>
  <si>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</si>
  <si>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</si>
  <si>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</si>
  <si>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</si>
  <si>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</si>
  <si>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</si>
  <si>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</si>
  <si>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</si>
  <si>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</si>
  <si>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</si>
  <si>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</si>
  <si>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</si>
  <si>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</si>
  <si>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</si>
  <si>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</si>
  <si>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</si>
  <si>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</si>
  <si>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</si>
  <si>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</si>
  <si>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</si>
  <si>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</si>
  <si>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</si>
  <si>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</si>
  <si>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</si>
  <si>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</si>
  <si>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</si>
  <si>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</si>
  <si>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</si>
  <si>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</si>
  <si>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</si>
  <si>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</si>
  <si>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</si>
  <si>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</si>
  <si>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</si>
  <si>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</si>
  <si>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</si>
  <si>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</si>
  <si>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</si>
  <si>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</si>
  <si>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</si>
  <si>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</si>
  <si>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</si>
  <si>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</si>
  <si>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</si>
  <si>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</si>
  <si>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</si>
  <si>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</si>
  <si>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</si>
  <si>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</si>
  <si>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</si>
  <si>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itsAccount</t>
  </si>
  <si>
    <t>Public Property Get itsAccount() As Account</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</si>
  <si>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</si>
  <si>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</si>
  <si>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</si>
  <si>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</si>
  <si>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</si>
  <si>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</si>
  <si>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</si>
  <si>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</si>
  <si>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</si>
  <si>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</si>
  <si>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</si>
  <si>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</si>
  <si>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</si>
  <si>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</si>
  <si>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</si>
  <si>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</si>
  <si>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</si>
  <si>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</si>
  <si>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</si>
  <si>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</si>
  <si>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</si>
  <si>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</si>
  <si>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</si>
  <si>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</si>
  <si>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</si>
  <si>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</si>
  <si>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</si>
  <si>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</si>
  <si>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</si>
  <si>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</si>
  <si>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</si>
  <si>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</si>
  <si>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</si>
  <si>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</si>
  <si>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</si>
  <si>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</si>
  <si>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</si>
  <si>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</si>
  <si>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</si>
  <si>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</si>
  <si>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</si>
  <si>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</si>
  <si>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</si>
  <si>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</si>
  <si>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</si>
  <si>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</si>
  <si>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</si>
  <si>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</si>
  <si>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</si>
  <si>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tasteCashbook</t>
  </si>
  <si>
    <t>Tasting</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</si>
  <si>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</si>
  <si>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</si>
  <si>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</si>
  <si>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</si>
  <si>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</si>
  <si>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</si>
  <si>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</si>
  <si>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</si>
  <si>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</si>
  <si>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</si>
  <si>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</si>
  <si>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</si>
  <si>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</si>
  <si>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</si>
  <si>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</si>
  <si>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</si>
  <si>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</si>
  <si>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</si>
  <si>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</si>
  <si>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</si>
  <si>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</si>
  <si>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</si>
  <si>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</si>
  <si>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</si>
  <si>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</si>
  <si>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</si>
  <si>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</si>
  <si>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</si>
  <si>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</si>
  <si>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</si>
  <si>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</si>
  <si>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</si>
  <si>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</si>
  <si>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</si>
  <si>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</si>
  <si>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</si>
  <si>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</si>
  <si>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</si>
  <si>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</si>
  <si>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</si>
  <si>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</si>
  <si>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</si>
  <si>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</si>
  <si>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</si>
  <si>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</si>
  <si>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</si>
  <si>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</si>
  <si>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</si>
  <si>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</si>
  <si>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</si>
  <si>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</si>
  <si>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</si>
  <si>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</si>
  <si>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</si>
  <si>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</si>
  <si>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</si>
  <si>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</si>
  <si>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</si>
  <si>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accType</t>
  </si>
  <si>
    <t>Public Property Get accType() As Long</t>
  </si>
  <si>
    <t>AccountTypeAsString</t>
  </si>
  <si>
    <t>Public Property Get AccountTypeAsString() As String</t>
  </si>
  <si>
    <t>of</t>
  </si>
  <si>
    <t>Public Sub of(ByVal accStr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</si>
  <si>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</si>
  <si>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</si>
  <si>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</si>
  <si>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</si>
  <si>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</si>
  <si>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</si>
  <si>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</si>
  <si>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</si>
  <si>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</si>
  <si>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</si>
  <si>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</si>
  <si>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</si>
  <si>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</si>
  <si>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</si>
  <si>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</si>
  <si>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</si>
  <si>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</si>
  <si>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</si>
  <si>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</si>
  <si>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</si>
  <si>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</si>
  <si>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</si>
  <si>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Private Sub TranscribeSum(ByRef cs As CashSelector, ByVal theReportingUnit As String, ByVal accType As AccountType, ByVal accName As String, ByVal subAccName As String, ByRef targetCell As Range)</t>
  </si>
  <si>
    <t>PrintAccounts</t>
  </si>
  <si>
    <t>Private Sub PrintAccounts(ByVal cb As Cashbook, ByVal rpUnit As String)</t>
  </si>
  <si>
    <t>TranscribeDetail</t>
  </si>
  <si>
    <t>Private Sub TranscribeDetail(ByVal cs As CashSelector, ByVal rpUnit As String, ByVal accType As AccountType, ByVal ofAccountName As String, ByVal ofSubAccountName As String, ByRef targetTable As ListObject)</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</si>
  <si>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</si>
  <si>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</si>
  <si>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</si>
  <si>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</si>
  <si>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</si>
  <si>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</si>
  <si>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</si>
  <si>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</si>
  <si>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</si>
  <si>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</si>
  <si>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</si>
  <si>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</si>
  <si>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</si>
  <si>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</si>
  <si>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</si>
  <si>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</si>
  <si>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</si>
  <si>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</si>
  <si>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</si>
  <si>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</si>
  <si>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</si>
  <si>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</si>
  <si>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</si>
  <si>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</si>
  <si>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</si>
  <si>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</si>
  <si>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</si>
  <si>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</si>
  <si>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</si>
  <si>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</si>
  <si>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</si>
  <si>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</si>
  <si>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</si>
  <si>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</si>
  <si>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</si>
  <si>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</si>
  <si>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</si>
  <si>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</si>
  <si>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</si>
  <si>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</si>
  <si>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</si>
  <si>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</si>
  <si>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</si>
  <si>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</si>
  <si>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</si>
  <si>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</si>
  <si>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</si>
  <si>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</si>
  <si>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</si>
  <si>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</si>
  <si>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</si>
  <si>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</si>
  <si>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</si>
  <si>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</si>
  <si>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</si>
  <si>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</si>
  <si>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</si>
  <si>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</si>
  <si>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</si>
  <si>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</si>
  <si>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</si>
  <si>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</si>
  <si>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</si>
  <si>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</si>
  <si>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</si>
  <si>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</si>
  <si>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</si>
  <si>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</si>
  <si>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</si>
  <si>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</si>
  <si>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</si>
  <si>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</si>
  <si>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</si>
  <si>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</si>
  <si>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</si>
  <si>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</si>
  <si>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</si>
  <si>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</si>
  <si>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</si>
  <si>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</si>
  <si>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</si>
  <si>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</si>
  <si>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</si>
  <si>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</si>
  <si>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</si>
  <si>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</si>
  <si>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</si>
  <si>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</si>
  <si>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Property Get</t>
  </si>
  <si>
    <t>Xport</t>
  </si>
  <si>
    <t>ExportThisWorkbook</t>
  </si>
  <si>
    <t>Public Sub ExportThisWorkbook()</t>
  </si>
  <si>
    <t>Unspecified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</si>
</sst>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7</v>
      </c>
    </row>
    <row r="2" spans="1:1">
      <c r="A2" t="s">
        <v>8</v>
      </c>
    </row>
    <row r="3" spans="1:1">
      <c r="A3" t="s">
        <v>9</v>
      </c>
    </row>
    <row r="4" spans="1:1">
      <c r="A4" t="s">
        <v>10</v>
      </c>
    </row>
    <row r="5" spans="1:1">
      <c r="A5" t="s">
        <v>16</v>
      </c>
    </row>
    <row r="6" spans="1:1">
      <c r="A6" t="s">
        <v>11</v>
      </c>
    </row>
    <row r="7" spans="1:1">
      <c r="A7" t="s">
        <v>17</v>
      </c>
    </row>
    <row r="8" spans="1:1">
      <c r="A8" t="s">
        <v>18</v>
      </c>
    </row>
    <row r="9" spans="1:1">
      <c r="A9" t="s">
        <v>19</v>
      </c>
    </row>
    <row r="10" spans="1:1">
      <c r="A10" t="s">
        <v>12</v>
      </c>
    </row>
    <row r="11" spans="1:1">
      <c r="A11" t="s">
        <v>13</v>
      </c>
    </row>
    <row r="13" spans="1:1">
      <c r="A13" t="s">
        <v>14</v>
      </c>
    </row>
    <row r="14" spans="1:1">
      <c r="A14" t="s">
        <v>15</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453125" customWidth="1"/>
    <col min="2" max="2" width="11.0898437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66</v>
      </c>
    </row>
    <row r="2" spans="1:10" ht="15" thickTop="1">
      <c r="A2" t="s">
        <v>41</v>
      </c>
      <c r="B2" t="s">
        <v>57</v>
      </c>
      <c r="C2" t="s">
        <v>58</v>
      </c>
      <c r="D2" t="s">
        <v>59</v>
      </c>
      <c r="E2" t="s">
        <v>60</v>
      </c>
      <c r="F2" t="s">
        <v>61</v>
      </c>
      <c r="G2" t="s">
        <v>62</v>
      </c>
      <c r="H2" t="s">
        <v>63</v>
      </c>
      <c r="I2" t="s">
        <v>64</v>
      </c>
      <c r="J2" t="s">
        <v>65</v>
      </c>
    </row>
    <row r="3" spans="1:10">
      <c r="A3" t="s">
        <v>315</v>
      </c>
      <c r="I3" s="28">
        <v>0</v>
      </c>
      <c r="J3" s="28">
        <v>33000</v>
      </c>
    </row>
    <row r="4" spans="1:10">
      <c r="A4" t="s">
        <v>107</v>
      </c>
      <c r="I4" s="28">
        <v>0</v>
      </c>
      <c r="J4" s="28">
        <v>138450</v>
      </c>
    </row>
    <row r="5" spans="1:10">
      <c r="A5" t="s">
        <v>255</v>
      </c>
      <c r="I5" s="28">
        <v>0</v>
      </c>
      <c r="J5" s="28">
        <v>24800</v>
      </c>
    </row>
    <row r="6" spans="1:10">
      <c r="A6" t="s">
        <v>96</v>
      </c>
      <c r="I6" s="28">
        <v>0</v>
      </c>
      <c r="J6" s="28">
        <v>588932</v>
      </c>
    </row>
    <row r="7" spans="1:10">
      <c r="A7" t="s">
        <v>243</v>
      </c>
      <c r="I7" s="28">
        <v>0</v>
      </c>
      <c r="J7" s="28">
        <v>280896</v>
      </c>
    </row>
    <row r="8" spans="1:10">
      <c r="A8" t="s">
        <v>92</v>
      </c>
      <c r="I8" s="28">
        <v>0</v>
      </c>
      <c r="J8" s="28">
        <v>540000</v>
      </c>
    </row>
    <row r="9" spans="1:10">
      <c r="A9" t="s">
        <v>82</v>
      </c>
      <c r="I9" s="28">
        <v>0</v>
      </c>
      <c r="J9" s="28">
        <v>1252000</v>
      </c>
    </row>
    <row r="10" spans="1:10">
      <c r="A10" t="s">
        <v>298</v>
      </c>
      <c r="I10" s="28">
        <v>0</v>
      </c>
      <c r="J10" s="28">
        <v>90000</v>
      </c>
    </row>
    <row r="11" spans="1:10">
      <c r="A11" t="s">
        <v>143</v>
      </c>
      <c r="I11" s="28">
        <v>0</v>
      </c>
      <c r="J11" s="28">
        <v>311910</v>
      </c>
    </row>
    <row r="12" spans="1:10">
      <c r="A12" t="s">
        <v>76</v>
      </c>
      <c r="I12" s="28">
        <v>0</v>
      </c>
      <c r="J12" s="28">
        <v>267124</v>
      </c>
    </row>
    <row r="13" spans="1:10">
      <c r="A13" t="s">
        <v>79</v>
      </c>
      <c r="I13" s="28">
        <v>0</v>
      </c>
      <c r="J13" s="28">
        <v>21720</v>
      </c>
    </row>
    <row r="14" spans="1:10">
      <c r="A14" t="s">
        <v>103</v>
      </c>
      <c r="I14" s="28">
        <v>0</v>
      </c>
      <c r="J14" s="28">
        <v>160390</v>
      </c>
    </row>
    <row r="15" spans="1:10">
      <c r="A15" t="s">
        <v>247</v>
      </c>
      <c r="I15" s="28">
        <v>0</v>
      </c>
      <c r="J15" s="28">
        <v>60000</v>
      </c>
    </row>
    <row r="16" spans="1:10">
      <c r="A16" t="s">
        <v>149</v>
      </c>
      <c r="I16" s="28">
        <v>1935000</v>
      </c>
      <c r="J16" s="28">
        <v>0</v>
      </c>
    </row>
    <row r="17" spans="1:10">
      <c r="A17" t="s">
        <v>137</v>
      </c>
      <c r="I17" s="28">
        <v>897000</v>
      </c>
      <c r="J17" s="28">
        <v>0</v>
      </c>
    </row>
    <row r="18" spans="1:10">
      <c r="A18" t="s">
        <v>140</v>
      </c>
      <c r="I18" s="28">
        <v>70000</v>
      </c>
      <c r="J18" s="28">
        <v>0</v>
      </c>
    </row>
    <row r="19" spans="1:10">
      <c r="A19" t="s">
        <v>87</v>
      </c>
      <c r="I19" s="28">
        <v>56000</v>
      </c>
      <c r="J19" s="28">
        <v>0</v>
      </c>
    </row>
    <row r="20" spans="1:10">
      <c r="A20" t="s">
        <v>121</v>
      </c>
      <c r="I20" s="28">
        <v>600001</v>
      </c>
      <c r="J20" s="28">
        <v>0</v>
      </c>
    </row>
    <row r="21" spans="1:10">
      <c r="A21" t="s">
        <v>224</v>
      </c>
      <c r="I21" s="28">
        <v>26</v>
      </c>
      <c r="J21" s="28">
        <v>0</v>
      </c>
    </row>
    <row r="22" spans="1:10">
      <c r="A22" t="s">
        <v>235</v>
      </c>
      <c r="I22" s="28">
        <v>565000</v>
      </c>
      <c r="J22" s="28">
        <v>0</v>
      </c>
    </row>
    <row r="23" spans="1:10">
      <c r="A23" t="s">
        <v>34</v>
      </c>
      <c r="I23" s="28"/>
      <c r="J23" s="28">
        <f>SUBTOTAL(109,テーブル勘定科目ごとの小計[貸方金額])</f>
        <v>3769222</v>
      </c>
    </row>
    <row r="27" spans="1:10" ht="17.5" thickBot="1">
      <c r="A27" s="27" t="s">
        <v>74</v>
      </c>
    </row>
    <row r="28" spans="1:10" ht="15" thickTop="1">
      <c r="A28" t="s">
        <v>41</v>
      </c>
      <c r="B28" t="s">
        <v>67</v>
      </c>
      <c r="C28" t="s">
        <v>68</v>
      </c>
      <c r="D28" t="s">
        <v>69</v>
      </c>
      <c r="E28" t="s">
        <v>70</v>
      </c>
      <c r="F28" t="s">
        <v>71</v>
      </c>
      <c r="G28" t="s">
        <v>72</v>
      </c>
      <c r="H28" t="s">
        <v>73</v>
      </c>
      <c r="I28" t="s">
        <v>64</v>
      </c>
      <c r="J28" t="s">
        <v>65</v>
      </c>
    </row>
    <row r="29" spans="1:10">
      <c r="A29" t="s">
        <v>315</v>
      </c>
      <c r="B29" s="25">
        <v>44653</v>
      </c>
      <c r="E29" t="s">
        <v>98</v>
      </c>
      <c r="F29" t="s">
        <v>314</v>
      </c>
      <c r="H29" t="s">
        <v>99</v>
      </c>
      <c r="I29" s="28"/>
      <c r="J29" s="28">
        <v>33000</v>
      </c>
    </row>
    <row r="30" spans="1:10">
      <c r="A30" t="s">
        <v>107</v>
      </c>
      <c r="B30" s="25">
        <v>44699</v>
      </c>
      <c r="E30" t="s">
        <v>106</v>
      </c>
      <c r="F30" t="s">
        <v>106</v>
      </c>
      <c r="H30" t="s">
        <v>108</v>
      </c>
      <c r="I30" s="28"/>
      <c r="J30" s="28">
        <v>20000</v>
      </c>
    </row>
    <row r="31" spans="1:10">
      <c r="A31" t="s">
        <v>107</v>
      </c>
      <c r="B31" s="25">
        <v>44823</v>
      </c>
      <c r="E31" t="s">
        <v>106</v>
      </c>
      <c r="F31" t="s">
        <v>106</v>
      </c>
      <c r="H31" t="s">
        <v>275</v>
      </c>
      <c r="I31" s="28"/>
      <c r="J31" s="28">
        <v>10000</v>
      </c>
    </row>
    <row r="32" spans="1:10">
      <c r="A32" t="s">
        <v>107</v>
      </c>
      <c r="B32" s="25">
        <v>44943</v>
      </c>
      <c r="E32" t="s">
        <v>106</v>
      </c>
      <c r="F32" t="s">
        <v>106</v>
      </c>
      <c r="H32" t="s">
        <v>287</v>
      </c>
      <c r="I32" s="28"/>
      <c r="J32" s="28">
        <v>75900</v>
      </c>
    </row>
    <row r="33" spans="1:10">
      <c r="A33" t="s">
        <v>107</v>
      </c>
      <c r="B33" s="25">
        <v>44947</v>
      </c>
      <c r="E33" t="s">
        <v>106</v>
      </c>
      <c r="F33" t="s">
        <v>106</v>
      </c>
      <c r="H33" t="s">
        <v>309</v>
      </c>
      <c r="I33" s="28"/>
      <c r="J33" s="28">
        <v>22550</v>
      </c>
    </row>
    <row r="34" spans="1:10">
      <c r="A34" t="s">
        <v>107</v>
      </c>
      <c r="B34" s="25">
        <v>45016</v>
      </c>
      <c r="E34" t="s">
        <v>106</v>
      </c>
      <c r="F34" t="s">
        <v>106</v>
      </c>
      <c r="H34" t="s">
        <v>313</v>
      </c>
      <c r="I34" s="28"/>
      <c r="J34" s="28">
        <v>10000</v>
      </c>
    </row>
    <row r="35" spans="1:10">
      <c r="A35" t="s">
        <v>255</v>
      </c>
      <c r="B35" s="25">
        <v>44839</v>
      </c>
      <c r="E35" t="s">
        <v>24</v>
      </c>
      <c r="F35" t="s">
        <v>254</v>
      </c>
      <c r="H35" t="s">
        <v>256</v>
      </c>
      <c r="I35" s="28"/>
      <c r="J35" s="28">
        <v>24800</v>
      </c>
    </row>
    <row r="36" spans="1:10">
      <c r="A36" t="s">
        <v>96</v>
      </c>
      <c r="B36" s="25">
        <v>44676</v>
      </c>
      <c r="E36" t="s">
        <v>24</v>
      </c>
      <c r="F36" t="s">
        <v>95</v>
      </c>
      <c r="G36" t="s">
        <v>252</v>
      </c>
      <c r="H36" t="s">
        <v>100</v>
      </c>
      <c r="I36" s="28"/>
      <c r="J36" s="28">
        <v>300000</v>
      </c>
    </row>
    <row r="37" spans="1:10">
      <c r="A37" t="s">
        <v>96</v>
      </c>
      <c r="B37" s="25">
        <v>44676</v>
      </c>
      <c r="E37" t="s">
        <v>24</v>
      </c>
      <c r="F37" t="s">
        <v>95</v>
      </c>
      <c r="G37" t="s">
        <v>252</v>
      </c>
      <c r="H37" t="s">
        <v>101</v>
      </c>
      <c r="I37" s="28"/>
      <c r="J37" s="28">
        <v>100000</v>
      </c>
    </row>
    <row r="38" spans="1:10">
      <c r="A38" t="s">
        <v>96</v>
      </c>
      <c r="B38" s="25">
        <v>44714</v>
      </c>
      <c r="E38" t="s">
        <v>24</v>
      </c>
      <c r="F38" t="s">
        <v>95</v>
      </c>
      <c r="G38" t="s">
        <v>86</v>
      </c>
      <c r="H38" t="s">
        <v>97</v>
      </c>
      <c r="I38" s="28"/>
      <c r="J38" s="28">
        <v>56000</v>
      </c>
    </row>
    <row r="39" spans="1:10">
      <c r="A39" t="s">
        <v>96</v>
      </c>
      <c r="B39" s="25">
        <v>44829</v>
      </c>
      <c r="E39" t="s">
        <v>24</v>
      </c>
      <c r="F39" t="s">
        <v>95</v>
      </c>
      <c r="G39" t="s">
        <v>252</v>
      </c>
      <c r="H39" t="s">
        <v>257</v>
      </c>
      <c r="I39" s="28"/>
      <c r="J39" s="28">
        <v>100000</v>
      </c>
    </row>
    <row r="40" spans="1:10">
      <c r="A40" t="s">
        <v>96</v>
      </c>
      <c r="B40" s="25">
        <v>44839</v>
      </c>
      <c r="E40" t="s">
        <v>24</v>
      </c>
      <c r="F40" t="s">
        <v>95</v>
      </c>
      <c r="G40" t="s">
        <v>252</v>
      </c>
      <c r="H40" t="s">
        <v>253</v>
      </c>
      <c r="I40" s="28"/>
      <c r="J40" s="28">
        <v>200000</v>
      </c>
    </row>
    <row r="41" spans="1:10">
      <c r="A41" t="s">
        <v>96</v>
      </c>
      <c r="B41" s="25">
        <v>44840</v>
      </c>
      <c r="E41" t="s">
        <v>24</v>
      </c>
      <c r="F41" t="s">
        <v>95</v>
      </c>
      <c r="G41" t="s">
        <v>252</v>
      </c>
      <c r="H41" t="s">
        <v>258</v>
      </c>
      <c r="I41" s="28"/>
      <c r="J41" s="28">
        <v>300000</v>
      </c>
    </row>
    <row r="42" spans="1:10">
      <c r="A42" t="s">
        <v>96</v>
      </c>
      <c r="B42" s="25">
        <v>44841</v>
      </c>
      <c r="E42" t="s">
        <v>24</v>
      </c>
      <c r="F42" t="s">
        <v>95</v>
      </c>
      <c r="G42" t="s">
        <v>252</v>
      </c>
      <c r="H42" t="s">
        <v>260</v>
      </c>
      <c r="I42" s="28"/>
      <c r="J42" s="28">
        <v>-67068</v>
      </c>
    </row>
    <row r="43" spans="1:10">
      <c r="A43" t="s">
        <v>96</v>
      </c>
      <c r="B43" s="25">
        <v>44965</v>
      </c>
      <c r="E43" t="s">
        <v>24</v>
      </c>
      <c r="F43" t="s">
        <v>95</v>
      </c>
      <c r="G43" t="s">
        <v>252</v>
      </c>
      <c r="H43" t="s">
        <v>311</v>
      </c>
      <c r="I43" s="28">
        <v>300000</v>
      </c>
      <c r="J43" s="28"/>
    </row>
    <row r="44" spans="1:10">
      <c r="A44" t="s">
        <v>96</v>
      </c>
      <c r="B44" s="25">
        <v>44965</v>
      </c>
      <c r="E44" t="s">
        <v>24</v>
      </c>
      <c r="F44" t="s">
        <v>95</v>
      </c>
      <c r="G44" t="s">
        <v>252</v>
      </c>
      <c r="H44" t="s">
        <v>312</v>
      </c>
      <c r="I44" s="28">
        <v>100000</v>
      </c>
      <c r="J44" s="28"/>
    </row>
    <row r="45" spans="1:10">
      <c r="A45" t="s">
        <v>243</v>
      </c>
      <c r="B45" s="25">
        <v>44727</v>
      </c>
      <c r="E45" t="s">
        <v>24</v>
      </c>
      <c r="F45" t="s">
        <v>242</v>
      </c>
      <c r="G45" t="s">
        <v>122</v>
      </c>
      <c r="H45" t="s">
        <v>123</v>
      </c>
      <c r="I45" s="28"/>
      <c r="J45" s="28">
        <v>100000</v>
      </c>
    </row>
    <row r="46" spans="1:10">
      <c r="A46" t="s">
        <v>243</v>
      </c>
      <c r="B46" s="25">
        <v>44735</v>
      </c>
      <c r="E46" t="s">
        <v>24</v>
      </c>
      <c r="F46" t="s">
        <v>242</v>
      </c>
      <c r="G46" t="s">
        <v>122</v>
      </c>
      <c r="H46" t="s">
        <v>125</v>
      </c>
      <c r="I46" s="28"/>
      <c r="J46" s="28">
        <v>52800</v>
      </c>
    </row>
    <row r="47" spans="1:10">
      <c r="A47" t="s">
        <v>243</v>
      </c>
      <c r="B47" s="25">
        <v>44747</v>
      </c>
      <c r="E47" t="s">
        <v>24</v>
      </c>
      <c r="F47" t="s">
        <v>242</v>
      </c>
      <c r="G47" t="s">
        <v>122</v>
      </c>
      <c r="H47" t="s">
        <v>145</v>
      </c>
      <c r="I47" s="28"/>
      <c r="J47" s="28">
        <v>4556</v>
      </c>
    </row>
    <row r="48" spans="1:10">
      <c r="A48" t="s">
        <v>243</v>
      </c>
      <c r="B48" s="25">
        <v>44747</v>
      </c>
      <c r="E48" t="s">
        <v>24</v>
      </c>
      <c r="F48" t="s">
        <v>242</v>
      </c>
      <c r="G48" t="s">
        <v>122</v>
      </c>
      <c r="H48" t="s">
        <v>146</v>
      </c>
      <c r="I48" s="28"/>
      <c r="J48" s="28">
        <v>11770</v>
      </c>
    </row>
    <row r="49" spans="1:10">
      <c r="A49" t="s">
        <v>243</v>
      </c>
      <c r="B49" s="25">
        <v>44747</v>
      </c>
      <c r="E49" t="s">
        <v>24</v>
      </c>
      <c r="F49" t="s">
        <v>242</v>
      </c>
      <c r="G49" t="s">
        <v>122</v>
      </c>
      <c r="H49" t="s">
        <v>147</v>
      </c>
      <c r="I49" s="28"/>
      <c r="J49" s="28">
        <v>11770</v>
      </c>
    </row>
    <row r="50" spans="1:10">
      <c r="A50" t="s">
        <v>243</v>
      </c>
      <c r="B50" s="25">
        <v>44819</v>
      </c>
      <c r="E50" t="s">
        <v>24</v>
      </c>
      <c r="F50" t="s">
        <v>242</v>
      </c>
      <c r="H50" t="s">
        <v>244</v>
      </c>
      <c r="I50" s="28"/>
      <c r="J50" s="28">
        <v>100000</v>
      </c>
    </row>
    <row r="51" spans="1:10">
      <c r="A51" t="s">
        <v>92</v>
      </c>
      <c r="B51" s="25">
        <v>44712</v>
      </c>
      <c r="E51" t="s">
        <v>24</v>
      </c>
      <c r="F51" t="s">
        <v>91</v>
      </c>
      <c r="H51" t="s">
        <v>93</v>
      </c>
      <c r="I51" s="28"/>
      <c r="J51" s="28">
        <v>100000</v>
      </c>
    </row>
    <row r="52" spans="1:10">
      <c r="A52" t="s">
        <v>92</v>
      </c>
      <c r="B52" s="25">
        <v>44846</v>
      </c>
      <c r="E52" t="s">
        <v>24</v>
      </c>
      <c r="F52" t="s">
        <v>91</v>
      </c>
      <c r="H52" t="s">
        <v>261</v>
      </c>
      <c r="I52" s="28"/>
      <c r="J52" s="28">
        <v>440000</v>
      </c>
    </row>
    <row r="53" spans="1:10">
      <c r="A53" t="s">
        <v>82</v>
      </c>
      <c r="B53" s="25">
        <v>44705</v>
      </c>
      <c r="E53" t="s">
        <v>24</v>
      </c>
      <c r="F53" t="s">
        <v>81</v>
      </c>
      <c r="H53" t="s">
        <v>83</v>
      </c>
      <c r="I53" s="28"/>
      <c r="J53" s="28">
        <v>55000</v>
      </c>
    </row>
    <row r="54" spans="1:10">
      <c r="A54" t="s">
        <v>82</v>
      </c>
      <c r="B54" s="25">
        <v>44705</v>
      </c>
      <c r="E54" t="s">
        <v>24</v>
      </c>
      <c r="F54" t="s">
        <v>81</v>
      </c>
      <c r="G54" t="s">
        <v>84</v>
      </c>
      <c r="H54" t="s">
        <v>85</v>
      </c>
      <c r="I54" s="28"/>
      <c r="J54" s="28">
        <v>495000</v>
      </c>
    </row>
    <row r="55" spans="1:10">
      <c r="A55" t="s">
        <v>82</v>
      </c>
      <c r="B55" s="25">
        <v>44819</v>
      </c>
      <c r="E55" t="s">
        <v>24</v>
      </c>
      <c r="F55" t="s">
        <v>81</v>
      </c>
      <c r="H55" t="s">
        <v>249</v>
      </c>
      <c r="I55" s="28"/>
      <c r="J55" s="28">
        <v>240000</v>
      </c>
    </row>
    <row r="56" spans="1:10">
      <c r="A56" t="s">
        <v>82</v>
      </c>
      <c r="B56" s="25">
        <v>44883</v>
      </c>
      <c r="E56" t="s">
        <v>24</v>
      </c>
      <c r="F56" t="s">
        <v>81</v>
      </c>
      <c r="G56" t="s">
        <v>84</v>
      </c>
      <c r="H56" t="s">
        <v>273</v>
      </c>
      <c r="I56" s="28"/>
      <c r="J56" s="28">
        <v>462000</v>
      </c>
    </row>
    <row r="57" spans="1:10">
      <c r="A57" t="s">
        <v>298</v>
      </c>
      <c r="B57" s="25">
        <v>45016</v>
      </c>
      <c r="E57" t="s">
        <v>24</v>
      </c>
      <c r="F57" t="s">
        <v>297</v>
      </c>
      <c r="H57" t="s">
        <v>299</v>
      </c>
      <c r="I57" s="28"/>
      <c r="J57" s="28">
        <v>10000</v>
      </c>
    </row>
    <row r="58" spans="1:10">
      <c r="A58" t="s">
        <v>298</v>
      </c>
      <c r="B58" s="25">
        <v>45016</v>
      </c>
      <c r="E58" t="s">
        <v>24</v>
      </c>
      <c r="F58" t="s">
        <v>297</v>
      </c>
      <c r="H58" t="s">
        <v>300</v>
      </c>
      <c r="I58" s="28"/>
      <c r="J58" s="28">
        <v>10000</v>
      </c>
    </row>
    <row r="59" spans="1:10">
      <c r="A59" t="s">
        <v>298</v>
      </c>
      <c r="B59" s="25">
        <v>45016</v>
      </c>
      <c r="E59" t="s">
        <v>24</v>
      </c>
      <c r="F59" t="s">
        <v>297</v>
      </c>
      <c r="H59" t="s">
        <v>301</v>
      </c>
      <c r="I59" s="28"/>
      <c r="J59" s="28">
        <v>10000</v>
      </c>
    </row>
    <row r="60" spans="1:10">
      <c r="A60" t="s">
        <v>298</v>
      </c>
      <c r="B60" s="25">
        <v>45016</v>
      </c>
      <c r="E60" t="s">
        <v>24</v>
      </c>
      <c r="F60" t="s">
        <v>297</v>
      </c>
      <c r="H60" t="s">
        <v>302</v>
      </c>
      <c r="I60" s="28"/>
      <c r="J60" s="28">
        <v>10000</v>
      </c>
    </row>
    <row r="61" spans="1:10">
      <c r="A61" t="s">
        <v>298</v>
      </c>
      <c r="B61" s="25">
        <v>45016</v>
      </c>
      <c r="E61" t="s">
        <v>24</v>
      </c>
      <c r="F61" t="s">
        <v>297</v>
      </c>
      <c r="H61" t="s">
        <v>303</v>
      </c>
      <c r="I61" s="28"/>
      <c r="J61" s="28">
        <v>10000</v>
      </c>
    </row>
    <row r="62" spans="1:10">
      <c r="A62" t="s">
        <v>298</v>
      </c>
      <c r="B62" s="25">
        <v>45016</v>
      </c>
      <c r="E62" t="s">
        <v>24</v>
      </c>
      <c r="F62" t="s">
        <v>297</v>
      </c>
      <c r="H62" t="s">
        <v>304</v>
      </c>
      <c r="I62" s="28"/>
      <c r="J62" s="28">
        <v>10000</v>
      </c>
    </row>
    <row r="63" spans="1:10">
      <c r="A63" t="s">
        <v>298</v>
      </c>
      <c r="B63" s="25">
        <v>45016</v>
      </c>
      <c r="E63" t="s">
        <v>24</v>
      </c>
      <c r="F63" t="s">
        <v>297</v>
      </c>
      <c r="H63" t="s">
        <v>305</v>
      </c>
      <c r="I63" s="28"/>
      <c r="J63" s="28">
        <v>10000</v>
      </c>
    </row>
    <row r="64" spans="1:10">
      <c r="A64" t="s">
        <v>298</v>
      </c>
      <c r="B64" s="25">
        <v>45016</v>
      </c>
      <c r="E64" t="s">
        <v>24</v>
      </c>
      <c r="F64" t="s">
        <v>297</v>
      </c>
      <c r="H64" t="s">
        <v>306</v>
      </c>
      <c r="I64" s="28"/>
      <c r="J64" s="28">
        <v>10000</v>
      </c>
    </row>
    <row r="65" spans="1:10">
      <c r="A65" t="s">
        <v>298</v>
      </c>
      <c r="B65" s="25">
        <v>45016</v>
      </c>
      <c r="E65" t="s">
        <v>24</v>
      </c>
      <c r="F65" t="s">
        <v>297</v>
      </c>
      <c r="H65" t="s">
        <v>307</v>
      </c>
      <c r="I65" s="28"/>
      <c r="J65" s="28">
        <v>10000</v>
      </c>
    </row>
    <row r="66" spans="1:10">
      <c r="A66" t="s">
        <v>143</v>
      </c>
      <c r="B66" s="25">
        <v>44747</v>
      </c>
      <c r="E66" t="s">
        <v>24</v>
      </c>
      <c r="F66" t="s">
        <v>142</v>
      </c>
      <c r="H66" t="s">
        <v>144</v>
      </c>
      <c r="I66" s="28"/>
      <c r="J66" s="28">
        <v>22110</v>
      </c>
    </row>
    <row r="67" spans="1:10">
      <c r="A67" t="s">
        <v>143</v>
      </c>
      <c r="B67" s="25">
        <v>44839</v>
      </c>
      <c r="E67" t="s">
        <v>24</v>
      </c>
      <c r="F67" t="s">
        <v>142</v>
      </c>
      <c r="H67" t="s">
        <v>251</v>
      </c>
      <c r="I67" s="28"/>
      <c r="J67" s="28">
        <v>191284</v>
      </c>
    </row>
    <row r="68" spans="1:10">
      <c r="A68" t="s">
        <v>143</v>
      </c>
      <c r="B68" s="25">
        <v>44860</v>
      </c>
      <c r="E68" t="s">
        <v>24</v>
      </c>
      <c r="F68" t="s">
        <v>142</v>
      </c>
      <c r="H68" t="s">
        <v>272</v>
      </c>
      <c r="I68" s="28"/>
      <c r="J68" s="28">
        <v>39336</v>
      </c>
    </row>
    <row r="69" spans="1:10">
      <c r="A69" t="s">
        <v>143</v>
      </c>
      <c r="B69" s="25">
        <v>44908</v>
      </c>
      <c r="E69" t="s">
        <v>24</v>
      </c>
      <c r="F69" t="s">
        <v>142</v>
      </c>
      <c r="H69" t="s">
        <v>284</v>
      </c>
      <c r="I69" s="28"/>
      <c r="J69" s="28">
        <v>59180</v>
      </c>
    </row>
    <row r="70" spans="1:10">
      <c r="A70" t="s">
        <v>76</v>
      </c>
      <c r="B70" s="25">
        <v>44680</v>
      </c>
      <c r="E70" t="s">
        <v>27</v>
      </c>
      <c r="F70" t="s">
        <v>75</v>
      </c>
      <c r="H70" t="s">
        <v>109</v>
      </c>
      <c r="I70" s="28"/>
      <c r="J70" s="28">
        <v>1331</v>
      </c>
    </row>
    <row r="71" spans="1:10">
      <c r="A71" t="s">
        <v>76</v>
      </c>
      <c r="B71" s="25">
        <v>44682</v>
      </c>
      <c r="E71" t="s">
        <v>27</v>
      </c>
      <c r="F71" t="s">
        <v>75</v>
      </c>
      <c r="H71" t="s">
        <v>110</v>
      </c>
      <c r="I71" s="28"/>
      <c r="J71" s="28">
        <v>1483</v>
      </c>
    </row>
    <row r="72" spans="1:10">
      <c r="A72" t="s">
        <v>76</v>
      </c>
      <c r="B72" s="25">
        <v>44684</v>
      </c>
      <c r="E72" t="s">
        <v>27</v>
      </c>
      <c r="F72" t="s">
        <v>75</v>
      </c>
      <c r="H72" t="s">
        <v>102</v>
      </c>
      <c r="I72" s="28"/>
      <c r="J72" s="28">
        <v>110</v>
      </c>
    </row>
    <row r="73" spans="1:10">
      <c r="A73" t="s">
        <v>76</v>
      </c>
      <c r="B73" s="25">
        <v>44688</v>
      </c>
      <c r="E73" t="s">
        <v>27</v>
      </c>
      <c r="F73" t="s">
        <v>75</v>
      </c>
      <c r="H73" t="s">
        <v>105</v>
      </c>
      <c r="I73" s="28"/>
      <c r="J73" s="28">
        <v>8800</v>
      </c>
    </row>
    <row r="74" spans="1:10">
      <c r="A74" t="s">
        <v>76</v>
      </c>
      <c r="B74" s="25">
        <v>44688</v>
      </c>
      <c r="E74" t="s">
        <v>27</v>
      </c>
      <c r="F74" t="s">
        <v>75</v>
      </c>
      <c r="H74" t="s">
        <v>110</v>
      </c>
      <c r="I74" s="28"/>
      <c r="J74" s="28">
        <v>737</v>
      </c>
    </row>
    <row r="75" spans="1:10">
      <c r="A75" t="s">
        <v>76</v>
      </c>
      <c r="B75" s="25">
        <v>44691</v>
      </c>
      <c r="E75" t="s">
        <v>27</v>
      </c>
      <c r="F75" t="s">
        <v>75</v>
      </c>
      <c r="H75" t="s">
        <v>113</v>
      </c>
      <c r="I75" s="28"/>
      <c r="J75" s="28">
        <v>3432</v>
      </c>
    </row>
    <row r="76" spans="1:10">
      <c r="A76" t="s">
        <v>76</v>
      </c>
      <c r="B76" s="25">
        <v>44699</v>
      </c>
      <c r="E76" t="s">
        <v>27</v>
      </c>
      <c r="F76" t="s">
        <v>75</v>
      </c>
      <c r="H76" t="s">
        <v>113</v>
      </c>
      <c r="I76" s="28"/>
      <c r="J76" s="28">
        <v>3476</v>
      </c>
    </row>
    <row r="77" spans="1:10">
      <c r="A77" t="s">
        <v>76</v>
      </c>
      <c r="B77" s="25">
        <v>44699</v>
      </c>
      <c r="E77" t="s">
        <v>27</v>
      </c>
      <c r="F77" t="s">
        <v>75</v>
      </c>
      <c r="H77" t="s">
        <v>109</v>
      </c>
      <c r="I77" s="28"/>
      <c r="J77" s="28">
        <v>1375</v>
      </c>
    </row>
    <row r="78" spans="1:10">
      <c r="A78" t="s">
        <v>76</v>
      </c>
      <c r="B78" s="25">
        <v>44699</v>
      </c>
      <c r="E78" t="s">
        <v>27</v>
      </c>
      <c r="F78" t="s">
        <v>75</v>
      </c>
      <c r="H78" t="s">
        <v>115</v>
      </c>
      <c r="I78" s="28"/>
      <c r="J78" s="28">
        <v>1320</v>
      </c>
    </row>
    <row r="79" spans="1:10">
      <c r="A79" t="s">
        <v>76</v>
      </c>
      <c r="B79" s="25">
        <v>44705</v>
      </c>
      <c r="E79" t="s">
        <v>27</v>
      </c>
      <c r="F79" t="s">
        <v>75</v>
      </c>
      <c r="H79" t="s">
        <v>77</v>
      </c>
      <c r="I79" s="28"/>
      <c r="J79" s="28">
        <v>36300</v>
      </c>
    </row>
    <row r="80" spans="1:10">
      <c r="A80" t="s">
        <v>76</v>
      </c>
      <c r="B80" s="25">
        <v>44705</v>
      </c>
      <c r="E80" t="s">
        <v>27</v>
      </c>
      <c r="F80" t="s">
        <v>75</v>
      </c>
      <c r="H80" t="s">
        <v>77</v>
      </c>
      <c r="I80" s="28"/>
      <c r="J80" s="28">
        <v>19140</v>
      </c>
    </row>
    <row r="81" spans="1:10">
      <c r="A81" t="s">
        <v>76</v>
      </c>
      <c r="B81" s="25">
        <v>44705</v>
      </c>
      <c r="E81" t="s">
        <v>27</v>
      </c>
      <c r="F81" t="s">
        <v>75</v>
      </c>
      <c r="H81" t="s">
        <v>77</v>
      </c>
      <c r="I81" s="28"/>
      <c r="J81" s="28">
        <v>15400</v>
      </c>
    </row>
    <row r="82" spans="1:10">
      <c r="A82" t="s">
        <v>76</v>
      </c>
      <c r="B82" s="25">
        <v>44720</v>
      </c>
      <c r="E82" t="s">
        <v>27</v>
      </c>
      <c r="F82" t="s">
        <v>75</v>
      </c>
      <c r="H82" t="s">
        <v>116</v>
      </c>
      <c r="I82" s="28"/>
      <c r="J82" s="28">
        <v>2354</v>
      </c>
    </row>
    <row r="83" spans="1:10">
      <c r="A83" t="s">
        <v>76</v>
      </c>
      <c r="B83" s="25">
        <v>44720</v>
      </c>
      <c r="E83" t="s">
        <v>27</v>
      </c>
      <c r="F83" t="s">
        <v>75</v>
      </c>
      <c r="H83" t="s">
        <v>117</v>
      </c>
      <c r="I83" s="28"/>
      <c r="J83" s="28">
        <v>1177</v>
      </c>
    </row>
    <row r="84" spans="1:10">
      <c r="A84" t="s">
        <v>76</v>
      </c>
      <c r="B84" s="25">
        <v>44725</v>
      </c>
      <c r="E84" t="s">
        <v>27</v>
      </c>
      <c r="F84" t="s">
        <v>75</v>
      </c>
      <c r="H84" t="s">
        <v>118</v>
      </c>
      <c r="I84" s="28"/>
      <c r="J84" s="28">
        <v>388</v>
      </c>
    </row>
    <row r="85" spans="1:10">
      <c r="A85" t="s">
        <v>76</v>
      </c>
      <c r="B85" s="25">
        <v>44725</v>
      </c>
      <c r="E85" t="s">
        <v>27</v>
      </c>
      <c r="F85" t="s">
        <v>75</v>
      </c>
      <c r="H85" t="s">
        <v>119</v>
      </c>
      <c r="I85" s="28"/>
      <c r="J85" s="28">
        <v>1144</v>
      </c>
    </row>
    <row r="86" spans="1:10">
      <c r="A86" t="s">
        <v>76</v>
      </c>
      <c r="B86" s="25">
        <v>44725</v>
      </c>
      <c r="E86" t="s">
        <v>27</v>
      </c>
      <c r="F86" t="s">
        <v>75</v>
      </c>
      <c r="H86" t="s">
        <v>120</v>
      </c>
      <c r="I86" s="28"/>
      <c r="J86" s="28">
        <v>2178</v>
      </c>
    </row>
    <row r="87" spans="1:10">
      <c r="A87" t="s">
        <v>76</v>
      </c>
      <c r="B87" s="25">
        <v>44727</v>
      </c>
      <c r="E87" t="s">
        <v>27</v>
      </c>
      <c r="F87" t="s">
        <v>75</v>
      </c>
      <c r="H87" t="s">
        <v>129</v>
      </c>
      <c r="I87" s="28"/>
      <c r="J87" s="28">
        <v>180</v>
      </c>
    </row>
    <row r="88" spans="1:10">
      <c r="A88" t="s">
        <v>76</v>
      </c>
      <c r="B88" s="25">
        <v>44729</v>
      </c>
      <c r="E88" t="s">
        <v>27</v>
      </c>
      <c r="F88" t="s">
        <v>75</v>
      </c>
      <c r="H88" t="s">
        <v>130</v>
      </c>
      <c r="I88" s="28"/>
      <c r="J88" s="28">
        <v>836</v>
      </c>
    </row>
    <row r="89" spans="1:10">
      <c r="A89" t="s">
        <v>76</v>
      </c>
      <c r="B89" s="25">
        <v>44732</v>
      </c>
      <c r="E89" t="s">
        <v>27</v>
      </c>
      <c r="F89" t="s">
        <v>75</v>
      </c>
      <c r="H89" t="s">
        <v>128</v>
      </c>
      <c r="I89" s="28"/>
      <c r="J89" s="28">
        <v>77000</v>
      </c>
    </row>
    <row r="90" spans="1:10">
      <c r="A90" t="s">
        <v>76</v>
      </c>
      <c r="B90" s="25">
        <v>44742</v>
      </c>
      <c r="E90" t="s">
        <v>27</v>
      </c>
      <c r="F90" t="s">
        <v>75</v>
      </c>
      <c r="H90" t="s">
        <v>134</v>
      </c>
      <c r="I90" s="28"/>
      <c r="J90" s="28">
        <v>9017</v>
      </c>
    </row>
    <row r="91" spans="1:10">
      <c r="A91" t="s">
        <v>76</v>
      </c>
      <c r="B91" s="25">
        <v>44747</v>
      </c>
      <c r="E91" t="s">
        <v>27</v>
      </c>
      <c r="F91" t="s">
        <v>75</v>
      </c>
      <c r="H91" t="s">
        <v>132</v>
      </c>
      <c r="I91" s="28"/>
      <c r="J91" s="28">
        <v>1100</v>
      </c>
    </row>
    <row r="92" spans="1:10">
      <c r="A92" t="s">
        <v>76</v>
      </c>
      <c r="B92" s="25">
        <v>44748</v>
      </c>
      <c r="E92" t="s">
        <v>27</v>
      </c>
      <c r="F92" t="s">
        <v>75</v>
      </c>
      <c r="H92" t="s">
        <v>133</v>
      </c>
      <c r="I92" s="28"/>
      <c r="J92" s="28">
        <v>3190</v>
      </c>
    </row>
    <row r="93" spans="1:10">
      <c r="A93" t="s">
        <v>76</v>
      </c>
      <c r="B93" s="25">
        <v>44754</v>
      </c>
      <c r="E93" t="s">
        <v>27</v>
      </c>
      <c r="F93" t="s">
        <v>75</v>
      </c>
      <c r="H93" t="s">
        <v>228</v>
      </c>
      <c r="I93" s="28"/>
      <c r="J93" s="28">
        <v>1177</v>
      </c>
    </row>
    <row r="94" spans="1:10">
      <c r="A94" t="s">
        <v>76</v>
      </c>
      <c r="B94" s="25">
        <v>44768</v>
      </c>
      <c r="E94" t="s">
        <v>27</v>
      </c>
      <c r="F94" t="s">
        <v>75</v>
      </c>
      <c r="H94" t="s">
        <v>211</v>
      </c>
      <c r="I94" s="28"/>
      <c r="J94" s="28">
        <v>30800</v>
      </c>
    </row>
    <row r="95" spans="1:10">
      <c r="A95" t="s">
        <v>76</v>
      </c>
      <c r="B95" s="25">
        <v>44768</v>
      </c>
      <c r="E95" t="s">
        <v>27</v>
      </c>
      <c r="F95" t="s">
        <v>75</v>
      </c>
      <c r="H95" t="s">
        <v>229</v>
      </c>
      <c r="I95" s="28"/>
      <c r="J95" s="28">
        <v>875</v>
      </c>
    </row>
    <row r="96" spans="1:10">
      <c r="A96" t="s">
        <v>76</v>
      </c>
      <c r="B96" s="25">
        <v>44782</v>
      </c>
      <c r="E96" t="s">
        <v>27</v>
      </c>
      <c r="F96" t="s">
        <v>75</v>
      </c>
      <c r="H96" t="s">
        <v>232</v>
      </c>
      <c r="I96" s="28"/>
      <c r="J96" s="28">
        <v>1199</v>
      </c>
    </row>
    <row r="97" spans="1:10">
      <c r="A97" t="s">
        <v>76</v>
      </c>
      <c r="B97" s="25">
        <v>44789</v>
      </c>
      <c r="E97" t="s">
        <v>27</v>
      </c>
      <c r="F97" t="s">
        <v>75</v>
      </c>
      <c r="H97" t="s">
        <v>268</v>
      </c>
      <c r="I97" s="28"/>
      <c r="J97" s="28">
        <v>1408</v>
      </c>
    </row>
    <row r="98" spans="1:10">
      <c r="A98" t="s">
        <v>76</v>
      </c>
      <c r="B98" s="25">
        <v>44825</v>
      </c>
      <c r="E98" t="s">
        <v>27</v>
      </c>
      <c r="F98" t="s">
        <v>75</v>
      </c>
      <c r="H98" t="s">
        <v>263</v>
      </c>
      <c r="I98" s="28"/>
      <c r="J98" s="28">
        <v>624</v>
      </c>
    </row>
    <row r="99" spans="1:10">
      <c r="A99" t="s">
        <v>76</v>
      </c>
      <c r="B99" s="25">
        <v>44830</v>
      </c>
      <c r="E99" t="s">
        <v>27</v>
      </c>
      <c r="F99" t="s">
        <v>75</v>
      </c>
      <c r="H99" t="s">
        <v>266</v>
      </c>
      <c r="I99" s="28"/>
      <c r="J99" s="28">
        <v>2640</v>
      </c>
    </row>
    <row r="100" spans="1:10">
      <c r="A100" t="s">
        <v>76</v>
      </c>
      <c r="B100" s="25">
        <v>44838</v>
      </c>
      <c r="E100" t="s">
        <v>27</v>
      </c>
      <c r="F100" t="s">
        <v>75</v>
      </c>
      <c r="H100" t="s">
        <v>267</v>
      </c>
      <c r="I100" s="28"/>
      <c r="J100" s="28">
        <v>1100</v>
      </c>
    </row>
    <row r="101" spans="1:10">
      <c r="A101" t="s">
        <v>76</v>
      </c>
      <c r="B101" s="25">
        <v>44860</v>
      </c>
      <c r="E101" t="s">
        <v>27</v>
      </c>
      <c r="F101" t="s">
        <v>75</v>
      </c>
      <c r="H101" t="s">
        <v>271</v>
      </c>
      <c r="I101" s="28"/>
      <c r="J101" s="28">
        <v>33000</v>
      </c>
    </row>
    <row r="102" spans="1:10">
      <c r="A102" t="s">
        <v>76</v>
      </c>
      <c r="B102" s="25">
        <v>44867</v>
      </c>
      <c r="E102" t="s">
        <v>27</v>
      </c>
      <c r="F102" t="s">
        <v>75</v>
      </c>
      <c r="H102" t="s">
        <v>276</v>
      </c>
      <c r="I102" s="28"/>
      <c r="J102" s="28">
        <v>484</v>
      </c>
    </row>
    <row r="103" spans="1:10">
      <c r="A103" t="s">
        <v>76</v>
      </c>
      <c r="B103" s="25">
        <v>44874</v>
      </c>
      <c r="E103" t="s">
        <v>27</v>
      </c>
      <c r="F103" t="s">
        <v>75</v>
      </c>
      <c r="H103" t="s">
        <v>277</v>
      </c>
      <c r="I103" s="28"/>
      <c r="J103" s="28">
        <v>20</v>
      </c>
    </row>
    <row r="104" spans="1:10">
      <c r="A104" t="s">
        <v>76</v>
      </c>
      <c r="B104" s="25">
        <v>44897</v>
      </c>
      <c r="E104" t="s">
        <v>27</v>
      </c>
      <c r="F104" t="s">
        <v>75</v>
      </c>
      <c r="H104" t="s">
        <v>282</v>
      </c>
      <c r="I104" s="28"/>
      <c r="J104" s="28">
        <v>30</v>
      </c>
    </row>
    <row r="105" spans="1:10">
      <c r="A105" t="s">
        <v>76</v>
      </c>
      <c r="B105" s="25">
        <v>44897</v>
      </c>
      <c r="E105" t="s">
        <v>27</v>
      </c>
      <c r="F105" t="s">
        <v>75</v>
      </c>
      <c r="H105" t="s">
        <v>283</v>
      </c>
      <c r="I105" s="28"/>
      <c r="J105" s="28">
        <v>2299</v>
      </c>
    </row>
    <row r="106" spans="1:10">
      <c r="A106" t="s">
        <v>79</v>
      </c>
      <c r="B106" s="25">
        <v>44676</v>
      </c>
      <c r="E106" t="s">
        <v>27</v>
      </c>
      <c r="F106" t="s">
        <v>78</v>
      </c>
      <c r="H106" t="s">
        <v>308</v>
      </c>
      <c r="I106" s="28"/>
      <c r="J106" s="28">
        <v>770</v>
      </c>
    </row>
    <row r="107" spans="1:10">
      <c r="A107" t="s">
        <v>79</v>
      </c>
      <c r="B107" s="25">
        <v>44705</v>
      </c>
      <c r="E107" t="s">
        <v>27</v>
      </c>
      <c r="F107" t="s">
        <v>78</v>
      </c>
      <c r="H107" t="s">
        <v>80</v>
      </c>
      <c r="I107" s="28"/>
      <c r="J107" s="28">
        <v>330</v>
      </c>
    </row>
    <row r="108" spans="1:10">
      <c r="A108" t="s">
        <v>79</v>
      </c>
      <c r="B108" s="25">
        <v>44705</v>
      </c>
      <c r="E108" t="s">
        <v>27</v>
      </c>
      <c r="F108" t="s">
        <v>78</v>
      </c>
      <c r="H108" t="s">
        <v>80</v>
      </c>
      <c r="I108" s="28"/>
      <c r="J108" s="28">
        <v>110</v>
      </c>
    </row>
    <row r="109" spans="1:10">
      <c r="A109" t="s">
        <v>79</v>
      </c>
      <c r="B109" s="25">
        <v>44705</v>
      </c>
      <c r="E109" t="s">
        <v>27</v>
      </c>
      <c r="F109" t="s">
        <v>78</v>
      </c>
      <c r="H109" t="s">
        <v>80</v>
      </c>
      <c r="I109" s="28"/>
      <c r="J109" s="28">
        <v>330</v>
      </c>
    </row>
    <row r="110" spans="1:10">
      <c r="A110" t="s">
        <v>79</v>
      </c>
      <c r="B110" s="25">
        <v>44705</v>
      </c>
      <c r="E110" t="s">
        <v>27</v>
      </c>
      <c r="F110" t="s">
        <v>78</v>
      </c>
      <c r="H110" t="s">
        <v>80</v>
      </c>
      <c r="I110" s="28"/>
      <c r="J110" s="28">
        <v>110</v>
      </c>
    </row>
    <row r="111" spans="1:10">
      <c r="A111" t="s">
        <v>79</v>
      </c>
      <c r="B111" s="25">
        <v>44705</v>
      </c>
      <c r="E111" t="s">
        <v>27</v>
      </c>
      <c r="F111" t="s">
        <v>78</v>
      </c>
      <c r="H111" t="s">
        <v>80</v>
      </c>
      <c r="I111" s="28"/>
      <c r="J111" s="28">
        <v>330</v>
      </c>
    </row>
    <row r="112" spans="1:10">
      <c r="A112" t="s">
        <v>79</v>
      </c>
      <c r="B112" s="25">
        <v>44712</v>
      </c>
      <c r="E112" t="s">
        <v>27</v>
      </c>
      <c r="F112" t="s">
        <v>78</v>
      </c>
      <c r="H112" t="s">
        <v>80</v>
      </c>
      <c r="I112" s="28"/>
      <c r="J112" s="28">
        <v>330</v>
      </c>
    </row>
    <row r="113" spans="1:10">
      <c r="A113" t="s">
        <v>79</v>
      </c>
      <c r="B113" s="25">
        <v>44726</v>
      </c>
      <c r="E113" t="s">
        <v>27</v>
      </c>
      <c r="F113" t="s">
        <v>78</v>
      </c>
      <c r="H113" t="s">
        <v>80</v>
      </c>
      <c r="I113" s="28"/>
      <c r="J113" s="28">
        <v>330</v>
      </c>
    </row>
    <row r="114" spans="1:10">
      <c r="A114" t="s">
        <v>79</v>
      </c>
      <c r="B114" s="25">
        <v>44726</v>
      </c>
      <c r="E114" t="s">
        <v>27</v>
      </c>
      <c r="F114" t="s">
        <v>78</v>
      </c>
      <c r="H114" t="s">
        <v>80</v>
      </c>
      <c r="I114" s="28"/>
      <c r="J114" s="28">
        <v>330</v>
      </c>
    </row>
    <row r="115" spans="1:10">
      <c r="A115" t="s">
        <v>79</v>
      </c>
      <c r="B115" s="25">
        <v>44727</v>
      </c>
      <c r="E115" t="s">
        <v>27</v>
      </c>
      <c r="F115" t="s">
        <v>78</v>
      </c>
      <c r="H115" t="s">
        <v>80</v>
      </c>
      <c r="I115" s="28"/>
      <c r="J115" s="28">
        <v>550</v>
      </c>
    </row>
    <row r="116" spans="1:10">
      <c r="A116" t="s">
        <v>79</v>
      </c>
      <c r="B116" s="25">
        <v>44732</v>
      </c>
      <c r="E116" t="s">
        <v>27</v>
      </c>
      <c r="F116" t="s">
        <v>78</v>
      </c>
      <c r="H116" t="s">
        <v>124</v>
      </c>
      <c r="I116" s="28"/>
      <c r="J116" s="28">
        <v>2200</v>
      </c>
    </row>
    <row r="117" spans="1:10">
      <c r="A117" t="s">
        <v>79</v>
      </c>
      <c r="B117" s="25">
        <v>44735</v>
      </c>
      <c r="E117" t="s">
        <v>27</v>
      </c>
      <c r="F117" t="s">
        <v>78</v>
      </c>
      <c r="H117" t="s">
        <v>80</v>
      </c>
      <c r="I117" s="28"/>
      <c r="J117" s="28">
        <v>550</v>
      </c>
    </row>
    <row r="118" spans="1:10">
      <c r="A118" t="s">
        <v>79</v>
      </c>
      <c r="B118" s="25">
        <v>44747</v>
      </c>
      <c r="E118" t="s">
        <v>27</v>
      </c>
      <c r="F118" t="s">
        <v>78</v>
      </c>
      <c r="H118" t="s">
        <v>80</v>
      </c>
      <c r="I118" s="28"/>
      <c r="J118" s="28">
        <v>550</v>
      </c>
    </row>
    <row r="119" spans="1:10">
      <c r="A119" t="s">
        <v>79</v>
      </c>
      <c r="B119" s="25">
        <v>44754</v>
      </c>
      <c r="E119" t="s">
        <v>27</v>
      </c>
      <c r="F119" t="s">
        <v>78</v>
      </c>
      <c r="H119" t="s">
        <v>80</v>
      </c>
      <c r="I119" s="28"/>
      <c r="J119" s="28">
        <v>330</v>
      </c>
    </row>
    <row r="120" spans="1:10">
      <c r="A120" t="s">
        <v>79</v>
      </c>
      <c r="B120" s="25">
        <v>44754</v>
      </c>
      <c r="E120" t="s">
        <v>27</v>
      </c>
      <c r="F120" t="s">
        <v>78</v>
      </c>
      <c r="H120" t="s">
        <v>80</v>
      </c>
      <c r="I120" s="28"/>
      <c r="J120" s="28">
        <v>330</v>
      </c>
    </row>
    <row r="121" spans="1:10">
      <c r="A121" t="s">
        <v>79</v>
      </c>
      <c r="B121" s="25">
        <v>44762</v>
      </c>
      <c r="E121" t="s">
        <v>27</v>
      </c>
      <c r="F121" t="s">
        <v>78</v>
      </c>
      <c r="H121" t="s">
        <v>205</v>
      </c>
      <c r="I121" s="28"/>
      <c r="J121" s="28">
        <v>2200</v>
      </c>
    </row>
    <row r="122" spans="1:10">
      <c r="A122" t="s">
        <v>79</v>
      </c>
      <c r="B122" s="25">
        <v>44768</v>
      </c>
      <c r="E122" t="s">
        <v>27</v>
      </c>
      <c r="F122" t="s">
        <v>78</v>
      </c>
      <c r="H122" t="s">
        <v>80</v>
      </c>
      <c r="I122" s="28"/>
      <c r="J122" s="28">
        <v>330</v>
      </c>
    </row>
    <row r="123" spans="1:10">
      <c r="A123" t="s">
        <v>79</v>
      </c>
      <c r="B123" s="25">
        <v>44790</v>
      </c>
      <c r="E123" t="s">
        <v>27</v>
      </c>
      <c r="F123" t="s">
        <v>78</v>
      </c>
      <c r="H123" t="s">
        <v>233</v>
      </c>
      <c r="I123" s="28"/>
      <c r="J123" s="28">
        <v>330</v>
      </c>
    </row>
    <row r="124" spans="1:10">
      <c r="A124" t="s">
        <v>79</v>
      </c>
      <c r="B124" s="25">
        <v>44795</v>
      </c>
      <c r="E124" t="s">
        <v>27</v>
      </c>
      <c r="F124" t="s">
        <v>78</v>
      </c>
      <c r="H124" t="s">
        <v>124</v>
      </c>
      <c r="I124" s="28"/>
      <c r="J124" s="28">
        <v>2200</v>
      </c>
    </row>
    <row r="125" spans="1:10">
      <c r="A125" t="s">
        <v>79</v>
      </c>
      <c r="B125" s="25">
        <v>44819</v>
      </c>
      <c r="E125" t="s">
        <v>27</v>
      </c>
      <c r="F125" t="s">
        <v>78</v>
      </c>
      <c r="H125" t="s">
        <v>80</v>
      </c>
      <c r="I125" s="28"/>
      <c r="J125" s="28">
        <v>330</v>
      </c>
    </row>
    <row r="126" spans="1:10">
      <c r="A126" t="s">
        <v>79</v>
      </c>
      <c r="B126" s="25">
        <v>44819</v>
      </c>
      <c r="E126" t="s">
        <v>27</v>
      </c>
      <c r="F126" t="s">
        <v>78</v>
      </c>
      <c r="H126" t="s">
        <v>80</v>
      </c>
      <c r="I126" s="28"/>
      <c r="J126" s="28">
        <v>380</v>
      </c>
    </row>
    <row r="127" spans="1:10">
      <c r="A127" t="s">
        <v>79</v>
      </c>
      <c r="B127" s="25">
        <v>44839</v>
      </c>
      <c r="E127" t="s">
        <v>27</v>
      </c>
      <c r="F127" t="s">
        <v>78</v>
      </c>
      <c r="H127" t="s">
        <v>80</v>
      </c>
      <c r="I127" s="28"/>
      <c r="J127" s="28">
        <v>550</v>
      </c>
    </row>
    <row r="128" spans="1:10">
      <c r="A128" t="s">
        <v>79</v>
      </c>
      <c r="B128" s="25">
        <v>44839</v>
      </c>
      <c r="E128" t="s">
        <v>27</v>
      </c>
      <c r="F128" t="s">
        <v>78</v>
      </c>
      <c r="H128" t="s">
        <v>80</v>
      </c>
      <c r="I128" s="28"/>
      <c r="J128" s="28">
        <v>330</v>
      </c>
    </row>
    <row r="129" spans="1:10">
      <c r="A129" t="s">
        <v>79</v>
      </c>
      <c r="B129" s="25">
        <v>44840</v>
      </c>
      <c r="E129" t="s">
        <v>27</v>
      </c>
      <c r="F129" t="s">
        <v>78</v>
      </c>
      <c r="H129" t="s">
        <v>80</v>
      </c>
      <c r="I129" s="28"/>
      <c r="J129" s="28">
        <v>330</v>
      </c>
    </row>
    <row r="130" spans="1:10">
      <c r="A130" t="s">
        <v>79</v>
      </c>
      <c r="B130" s="25">
        <v>44846</v>
      </c>
      <c r="E130" t="s">
        <v>27</v>
      </c>
      <c r="F130" t="s">
        <v>78</v>
      </c>
      <c r="H130" t="s">
        <v>262</v>
      </c>
      <c r="I130" s="28"/>
      <c r="J130" s="28">
        <v>330</v>
      </c>
    </row>
    <row r="131" spans="1:10">
      <c r="A131" t="s">
        <v>79</v>
      </c>
      <c r="B131" s="25">
        <v>44847</v>
      </c>
      <c r="E131" t="s">
        <v>27</v>
      </c>
      <c r="F131" t="s">
        <v>78</v>
      </c>
      <c r="H131" t="s">
        <v>269</v>
      </c>
      <c r="I131" s="28"/>
      <c r="J131" s="28">
        <v>110</v>
      </c>
    </row>
    <row r="132" spans="1:10">
      <c r="A132" t="s">
        <v>79</v>
      </c>
      <c r="B132" s="25">
        <v>44860</v>
      </c>
      <c r="E132" t="s">
        <v>27</v>
      </c>
      <c r="F132" t="s">
        <v>78</v>
      </c>
      <c r="H132" t="s">
        <v>262</v>
      </c>
      <c r="I132" s="28"/>
      <c r="J132" s="28">
        <v>330</v>
      </c>
    </row>
    <row r="133" spans="1:10">
      <c r="A133" t="s">
        <v>79</v>
      </c>
      <c r="B133" s="25">
        <v>44860</v>
      </c>
      <c r="E133" t="s">
        <v>27</v>
      </c>
      <c r="F133" t="s">
        <v>78</v>
      </c>
      <c r="H133" t="s">
        <v>262</v>
      </c>
      <c r="I133" s="28"/>
      <c r="J133" s="28">
        <v>330</v>
      </c>
    </row>
    <row r="134" spans="1:10">
      <c r="A134" t="s">
        <v>79</v>
      </c>
      <c r="B134" s="25">
        <v>44883</v>
      </c>
      <c r="E134" t="s">
        <v>27</v>
      </c>
      <c r="F134" t="s">
        <v>78</v>
      </c>
      <c r="H134" t="s">
        <v>262</v>
      </c>
      <c r="I134" s="28"/>
      <c r="J134" s="28">
        <v>330</v>
      </c>
    </row>
    <row r="135" spans="1:10">
      <c r="A135" t="s">
        <v>79</v>
      </c>
      <c r="B135" s="25">
        <v>44900</v>
      </c>
      <c r="E135" t="s">
        <v>27</v>
      </c>
      <c r="F135" t="s">
        <v>78</v>
      </c>
      <c r="H135" t="s">
        <v>262</v>
      </c>
      <c r="I135" s="28"/>
      <c r="J135" s="28">
        <v>110</v>
      </c>
    </row>
    <row r="136" spans="1:10">
      <c r="A136" t="s">
        <v>79</v>
      </c>
      <c r="B136" s="25">
        <v>44900</v>
      </c>
      <c r="E136" t="s">
        <v>27</v>
      </c>
      <c r="F136" t="s">
        <v>78</v>
      </c>
      <c r="H136" t="s">
        <v>262</v>
      </c>
      <c r="I136" s="28"/>
      <c r="J136" s="28">
        <v>330</v>
      </c>
    </row>
    <row r="137" spans="1:10">
      <c r="A137" t="s">
        <v>79</v>
      </c>
      <c r="B137" s="25">
        <v>44908</v>
      </c>
      <c r="E137" t="s">
        <v>27</v>
      </c>
      <c r="F137" t="s">
        <v>78</v>
      </c>
      <c r="H137" t="s">
        <v>262</v>
      </c>
      <c r="I137" s="28"/>
      <c r="J137" s="28">
        <v>550</v>
      </c>
    </row>
    <row r="138" spans="1:10">
      <c r="A138" t="s">
        <v>79</v>
      </c>
      <c r="B138" s="25">
        <v>44915</v>
      </c>
      <c r="E138" t="s">
        <v>27</v>
      </c>
      <c r="F138" t="s">
        <v>78</v>
      </c>
      <c r="H138" t="s">
        <v>285</v>
      </c>
      <c r="I138" s="28"/>
      <c r="J138" s="28">
        <v>2200</v>
      </c>
    </row>
    <row r="139" spans="1:10">
      <c r="A139" t="s">
        <v>79</v>
      </c>
      <c r="B139" s="25">
        <v>44943</v>
      </c>
      <c r="E139" t="s">
        <v>27</v>
      </c>
      <c r="F139" t="s">
        <v>78</v>
      </c>
      <c r="H139" t="s">
        <v>262</v>
      </c>
      <c r="I139" s="28"/>
      <c r="J139" s="28">
        <v>330</v>
      </c>
    </row>
    <row r="140" spans="1:10">
      <c r="A140" t="s">
        <v>79</v>
      </c>
      <c r="B140" s="25">
        <v>44946</v>
      </c>
      <c r="E140" t="s">
        <v>27</v>
      </c>
      <c r="F140" t="s">
        <v>78</v>
      </c>
      <c r="H140" t="s">
        <v>285</v>
      </c>
      <c r="I140" s="28"/>
      <c r="J140" s="28">
        <v>2200</v>
      </c>
    </row>
    <row r="141" spans="1:10">
      <c r="A141" t="s">
        <v>79</v>
      </c>
      <c r="B141" s="25">
        <v>44947</v>
      </c>
      <c r="E141" t="s">
        <v>27</v>
      </c>
      <c r="F141" t="s">
        <v>78</v>
      </c>
      <c r="H141" t="s">
        <v>262</v>
      </c>
      <c r="I141" s="28"/>
      <c r="J141" s="28">
        <v>110</v>
      </c>
    </row>
    <row r="142" spans="1:10">
      <c r="A142" t="s">
        <v>103</v>
      </c>
      <c r="B142" s="25">
        <v>44684</v>
      </c>
      <c r="E142" t="s">
        <v>27</v>
      </c>
      <c r="F142" t="s">
        <v>25</v>
      </c>
      <c r="H142" t="s">
        <v>104</v>
      </c>
      <c r="I142" s="28"/>
      <c r="J142" s="28">
        <v>3948</v>
      </c>
    </row>
    <row r="143" spans="1:10">
      <c r="A143" t="s">
        <v>103</v>
      </c>
      <c r="B143" s="25">
        <v>44687</v>
      </c>
      <c r="E143" t="s">
        <v>27</v>
      </c>
      <c r="F143" t="s">
        <v>25</v>
      </c>
      <c r="G143" t="s">
        <v>84</v>
      </c>
      <c r="H143" t="s">
        <v>111</v>
      </c>
      <c r="I143" s="28"/>
      <c r="J143" s="28">
        <v>8400</v>
      </c>
    </row>
    <row r="144" spans="1:10">
      <c r="A144" t="s">
        <v>103</v>
      </c>
      <c r="B144" s="25">
        <v>44688</v>
      </c>
      <c r="E144" t="s">
        <v>27</v>
      </c>
      <c r="F144" t="s">
        <v>25</v>
      </c>
      <c r="H144" t="s">
        <v>112</v>
      </c>
      <c r="I144" s="28"/>
      <c r="J144" s="28">
        <v>1600</v>
      </c>
    </row>
    <row r="145" spans="1:10">
      <c r="A145" t="s">
        <v>103</v>
      </c>
      <c r="B145" s="25">
        <v>44688</v>
      </c>
      <c r="E145" t="s">
        <v>27</v>
      </c>
      <c r="F145" t="s">
        <v>25</v>
      </c>
      <c r="H145" t="s">
        <v>112</v>
      </c>
      <c r="I145" s="28"/>
      <c r="J145" s="28">
        <v>800</v>
      </c>
    </row>
    <row r="146" spans="1:10">
      <c r="A146" t="s">
        <v>103</v>
      </c>
      <c r="B146" s="25">
        <v>44690</v>
      </c>
      <c r="E146" t="s">
        <v>27</v>
      </c>
      <c r="F146" t="s">
        <v>25</v>
      </c>
      <c r="G146" t="s">
        <v>84</v>
      </c>
      <c r="H146" t="s">
        <v>111</v>
      </c>
      <c r="I146" s="28"/>
      <c r="J146" s="28">
        <v>38220</v>
      </c>
    </row>
    <row r="147" spans="1:10">
      <c r="A147" t="s">
        <v>103</v>
      </c>
      <c r="B147" s="25">
        <v>44691</v>
      </c>
      <c r="E147" t="s">
        <v>27</v>
      </c>
      <c r="F147" t="s">
        <v>25</v>
      </c>
      <c r="G147" t="s">
        <v>84</v>
      </c>
      <c r="H147" t="s">
        <v>111</v>
      </c>
      <c r="I147" s="28"/>
      <c r="J147" s="28">
        <v>3580</v>
      </c>
    </row>
    <row r="148" spans="1:10">
      <c r="A148" t="s">
        <v>103</v>
      </c>
      <c r="B148" s="25">
        <v>44699</v>
      </c>
      <c r="E148" t="s">
        <v>27</v>
      </c>
      <c r="F148" t="s">
        <v>25</v>
      </c>
      <c r="H148" t="s">
        <v>114</v>
      </c>
      <c r="I148" s="28"/>
      <c r="J148" s="28">
        <v>1110</v>
      </c>
    </row>
    <row r="149" spans="1:10">
      <c r="A149" t="s">
        <v>103</v>
      </c>
      <c r="B149" s="25">
        <v>44706</v>
      </c>
      <c r="E149" t="s">
        <v>27</v>
      </c>
      <c r="F149" t="s">
        <v>25</v>
      </c>
      <c r="H149" t="s">
        <v>114</v>
      </c>
      <c r="I149" s="28"/>
      <c r="J149" s="28">
        <v>600</v>
      </c>
    </row>
    <row r="150" spans="1:10">
      <c r="A150" t="s">
        <v>103</v>
      </c>
      <c r="B150" s="25">
        <v>44708</v>
      </c>
      <c r="E150" t="s">
        <v>27</v>
      </c>
      <c r="F150" t="s">
        <v>25</v>
      </c>
      <c r="H150" t="s">
        <v>114</v>
      </c>
      <c r="I150" s="28"/>
      <c r="J150" s="28">
        <v>1092</v>
      </c>
    </row>
    <row r="151" spans="1:10">
      <c r="A151" t="s">
        <v>103</v>
      </c>
      <c r="B151" s="25">
        <v>44712</v>
      </c>
      <c r="E151" t="s">
        <v>27</v>
      </c>
      <c r="F151" t="s">
        <v>25</v>
      </c>
      <c r="H151" t="s">
        <v>114</v>
      </c>
      <c r="I151" s="28"/>
      <c r="J151" s="28">
        <v>8316</v>
      </c>
    </row>
    <row r="152" spans="1:10">
      <c r="A152" t="s">
        <v>103</v>
      </c>
      <c r="B152" s="25">
        <v>44734</v>
      </c>
      <c r="E152" t="s">
        <v>27</v>
      </c>
      <c r="F152" t="s">
        <v>25</v>
      </c>
      <c r="H152" t="s">
        <v>114</v>
      </c>
      <c r="I152" s="28"/>
      <c r="J152" s="28">
        <v>214</v>
      </c>
    </row>
    <row r="153" spans="1:10">
      <c r="A153" t="s">
        <v>103</v>
      </c>
      <c r="B153" s="25">
        <v>44743</v>
      </c>
      <c r="E153" t="s">
        <v>27</v>
      </c>
      <c r="F153" t="s">
        <v>25</v>
      </c>
      <c r="H153" t="s">
        <v>131</v>
      </c>
      <c r="I153" s="28"/>
      <c r="J153" s="28">
        <v>6300</v>
      </c>
    </row>
    <row r="154" spans="1:10">
      <c r="A154" t="s">
        <v>103</v>
      </c>
      <c r="B154" s="25">
        <v>44747</v>
      </c>
      <c r="E154" t="s">
        <v>27</v>
      </c>
      <c r="F154" t="s">
        <v>25</v>
      </c>
      <c r="H154" t="s">
        <v>129</v>
      </c>
      <c r="I154" s="28"/>
      <c r="J154" s="28">
        <v>30</v>
      </c>
    </row>
    <row r="155" spans="1:10">
      <c r="A155" t="s">
        <v>103</v>
      </c>
      <c r="B155" s="25">
        <v>44747</v>
      </c>
      <c r="E155" t="s">
        <v>27</v>
      </c>
      <c r="F155" t="s">
        <v>25</v>
      </c>
      <c r="H155" t="s">
        <v>114</v>
      </c>
      <c r="I155" s="28"/>
      <c r="J155" s="28">
        <v>344</v>
      </c>
    </row>
    <row r="156" spans="1:10">
      <c r="A156" t="s">
        <v>103</v>
      </c>
      <c r="B156" s="25">
        <v>44767</v>
      </c>
      <c r="E156" t="s">
        <v>27</v>
      </c>
      <c r="F156" t="s">
        <v>25</v>
      </c>
      <c r="H156" t="s">
        <v>104</v>
      </c>
      <c r="I156" s="28"/>
      <c r="J156" s="28">
        <v>504</v>
      </c>
    </row>
    <row r="157" spans="1:10">
      <c r="A157" t="s">
        <v>103</v>
      </c>
      <c r="B157" s="25">
        <v>44768</v>
      </c>
      <c r="E157" t="s">
        <v>27</v>
      </c>
      <c r="F157" t="s">
        <v>25</v>
      </c>
      <c r="H157" t="s">
        <v>230</v>
      </c>
      <c r="I157" s="28"/>
      <c r="J157" s="28">
        <v>20310</v>
      </c>
    </row>
    <row r="158" spans="1:10">
      <c r="A158" t="s">
        <v>103</v>
      </c>
      <c r="B158" s="25">
        <v>44768</v>
      </c>
      <c r="E158" t="s">
        <v>27</v>
      </c>
      <c r="F158" t="s">
        <v>25</v>
      </c>
      <c r="H158" t="s">
        <v>55</v>
      </c>
      <c r="I158" s="28"/>
      <c r="J158" s="28">
        <v>800</v>
      </c>
    </row>
    <row r="159" spans="1:10">
      <c r="A159" t="s">
        <v>103</v>
      </c>
      <c r="B159" s="25">
        <v>44781</v>
      </c>
      <c r="E159" t="s">
        <v>27</v>
      </c>
      <c r="F159" t="s">
        <v>25</v>
      </c>
      <c r="H159" t="s">
        <v>231</v>
      </c>
      <c r="I159" s="28"/>
      <c r="J159" s="28">
        <v>504</v>
      </c>
    </row>
    <row r="160" spans="1:10">
      <c r="A160" t="s">
        <v>103</v>
      </c>
      <c r="B160" s="25">
        <v>44782</v>
      </c>
      <c r="E160" t="s">
        <v>27</v>
      </c>
      <c r="F160" t="s">
        <v>25</v>
      </c>
      <c r="H160" t="s">
        <v>104</v>
      </c>
      <c r="I160" s="28"/>
      <c r="J160" s="28">
        <v>168</v>
      </c>
    </row>
    <row r="161" spans="1:10">
      <c r="A161" t="s">
        <v>103</v>
      </c>
      <c r="B161" s="25">
        <v>44806</v>
      </c>
      <c r="E161" t="s">
        <v>27</v>
      </c>
      <c r="F161" t="s">
        <v>25</v>
      </c>
      <c r="H161" t="s">
        <v>231</v>
      </c>
      <c r="I161" s="28"/>
      <c r="J161" s="28">
        <v>168</v>
      </c>
    </row>
    <row r="162" spans="1:10">
      <c r="A162" t="s">
        <v>103</v>
      </c>
      <c r="B162" s="25">
        <v>44810</v>
      </c>
      <c r="E162" t="s">
        <v>27</v>
      </c>
      <c r="F162" t="s">
        <v>25</v>
      </c>
      <c r="H162" t="s">
        <v>231</v>
      </c>
      <c r="I162" s="28"/>
      <c r="J162" s="28">
        <v>140</v>
      </c>
    </row>
    <row r="163" spans="1:10">
      <c r="A163" t="s">
        <v>103</v>
      </c>
      <c r="B163" s="25">
        <v>44810</v>
      </c>
      <c r="E163" t="s">
        <v>27</v>
      </c>
      <c r="F163" t="s">
        <v>25</v>
      </c>
      <c r="H163" t="s">
        <v>231</v>
      </c>
      <c r="I163" s="28"/>
      <c r="J163" s="28">
        <v>280</v>
      </c>
    </row>
    <row r="164" spans="1:10">
      <c r="A164" t="s">
        <v>103</v>
      </c>
      <c r="B164" s="25">
        <v>44818</v>
      </c>
      <c r="E164" t="s">
        <v>27</v>
      </c>
      <c r="F164" t="s">
        <v>25</v>
      </c>
      <c r="H164" t="s">
        <v>231</v>
      </c>
      <c r="I164" s="28"/>
      <c r="J164" s="28">
        <v>3120</v>
      </c>
    </row>
    <row r="165" spans="1:10">
      <c r="A165" t="s">
        <v>103</v>
      </c>
      <c r="B165" s="25">
        <v>44819</v>
      </c>
      <c r="E165" t="s">
        <v>27</v>
      </c>
      <c r="F165" t="s">
        <v>25</v>
      </c>
      <c r="H165" t="s">
        <v>80</v>
      </c>
      <c r="I165" s="28"/>
      <c r="J165" s="28">
        <v>550</v>
      </c>
    </row>
    <row r="166" spans="1:10">
      <c r="A166" t="s">
        <v>103</v>
      </c>
      <c r="B166" s="25">
        <v>44819</v>
      </c>
      <c r="E166" t="s">
        <v>27</v>
      </c>
      <c r="F166" t="s">
        <v>25</v>
      </c>
      <c r="H166" t="s">
        <v>231</v>
      </c>
      <c r="I166" s="28"/>
      <c r="J166" s="28">
        <v>260</v>
      </c>
    </row>
    <row r="167" spans="1:10">
      <c r="A167" t="s">
        <v>103</v>
      </c>
      <c r="B167" s="25">
        <v>44824</v>
      </c>
      <c r="E167" t="s">
        <v>27</v>
      </c>
      <c r="F167" t="s">
        <v>25</v>
      </c>
      <c r="H167" t="s">
        <v>250</v>
      </c>
      <c r="I167" s="28"/>
      <c r="J167" s="28">
        <v>2200</v>
      </c>
    </row>
    <row r="168" spans="1:10">
      <c r="A168" t="s">
        <v>103</v>
      </c>
      <c r="B168" s="25">
        <v>44826</v>
      </c>
      <c r="E168" t="s">
        <v>27</v>
      </c>
      <c r="F168" t="s">
        <v>25</v>
      </c>
      <c r="H168" t="s">
        <v>264</v>
      </c>
      <c r="I168" s="28"/>
      <c r="J168" s="28">
        <v>740</v>
      </c>
    </row>
    <row r="169" spans="1:10">
      <c r="A169" t="s">
        <v>103</v>
      </c>
      <c r="B169" s="25">
        <v>44830</v>
      </c>
      <c r="E169" t="s">
        <v>27</v>
      </c>
      <c r="F169" t="s">
        <v>25</v>
      </c>
      <c r="H169" t="s">
        <v>265</v>
      </c>
      <c r="I169" s="28"/>
      <c r="J169" s="28">
        <v>30</v>
      </c>
    </row>
    <row r="170" spans="1:10">
      <c r="A170" t="s">
        <v>103</v>
      </c>
      <c r="B170" s="25">
        <v>44839</v>
      </c>
      <c r="E170" t="s">
        <v>27</v>
      </c>
      <c r="F170" t="s">
        <v>25</v>
      </c>
      <c r="H170" t="s">
        <v>104</v>
      </c>
      <c r="I170" s="28"/>
      <c r="J170" s="28">
        <v>204</v>
      </c>
    </row>
    <row r="171" spans="1:10">
      <c r="A171" t="s">
        <v>103</v>
      </c>
      <c r="B171" s="25">
        <v>44841</v>
      </c>
      <c r="E171" t="s">
        <v>27</v>
      </c>
      <c r="F171" t="s">
        <v>25</v>
      </c>
      <c r="H171" t="s">
        <v>104</v>
      </c>
      <c r="I171" s="28"/>
      <c r="J171" s="28">
        <v>420</v>
      </c>
    </row>
    <row r="172" spans="1:10">
      <c r="A172" t="s">
        <v>103</v>
      </c>
      <c r="B172" s="25">
        <v>44846</v>
      </c>
      <c r="E172" t="s">
        <v>27</v>
      </c>
      <c r="F172" t="s">
        <v>25</v>
      </c>
      <c r="H172" t="s">
        <v>104</v>
      </c>
      <c r="I172" s="28"/>
      <c r="J172" s="28">
        <v>140</v>
      </c>
    </row>
    <row r="173" spans="1:10">
      <c r="A173" t="s">
        <v>103</v>
      </c>
      <c r="B173" s="25">
        <v>44848</v>
      </c>
      <c r="E173" t="s">
        <v>27</v>
      </c>
      <c r="F173" t="s">
        <v>25</v>
      </c>
      <c r="H173" t="s">
        <v>104</v>
      </c>
      <c r="I173" s="28"/>
      <c r="J173" s="28">
        <v>140</v>
      </c>
    </row>
    <row r="174" spans="1:10">
      <c r="A174" t="s">
        <v>103</v>
      </c>
      <c r="B174" s="25">
        <v>44852</v>
      </c>
      <c r="E174" t="s">
        <v>27</v>
      </c>
      <c r="F174" t="s">
        <v>25</v>
      </c>
      <c r="H174" t="s">
        <v>104</v>
      </c>
      <c r="I174" s="28"/>
      <c r="J174" s="28">
        <v>280</v>
      </c>
    </row>
    <row r="175" spans="1:10">
      <c r="A175" t="s">
        <v>103</v>
      </c>
      <c r="B175" s="25">
        <v>44854</v>
      </c>
      <c r="E175" t="s">
        <v>27</v>
      </c>
      <c r="F175" t="s">
        <v>25</v>
      </c>
      <c r="H175" t="s">
        <v>250</v>
      </c>
      <c r="I175" s="28"/>
      <c r="J175" s="28">
        <v>2200</v>
      </c>
    </row>
    <row r="176" spans="1:10">
      <c r="A176" t="s">
        <v>103</v>
      </c>
      <c r="B176" s="25">
        <v>44872</v>
      </c>
      <c r="E176" t="s">
        <v>27</v>
      </c>
      <c r="F176" t="s">
        <v>25</v>
      </c>
      <c r="H176" t="s">
        <v>104</v>
      </c>
      <c r="I176" s="28"/>
      <c r="J176" s="28">
        <v>84</v>
      </c>
    </row>
    <row r="177" spans="1:10">
      <c r="A177" t="s">
        <v>103</v>
      </c>
      <c r="B177" s="25">
        <v>44880</v>
      </c>
      <c r="E177" t="s">
        <v>27</v>
      </c>
      <c r="F177" t="s">
        <v>25</v>
      </c>
      <c r="G177" t="s">
        <v>84</v>
      </c>
      <c r="H177" t="s">
        <v>278</v>
      </c>
      <c r="I177" s="28"/>
      <c r="J177" s="28">
        <v>29500</v>
      </c>
    </row>
    <row r="178" spans="1:10">
      <c r="A178" t="s">
        <v>103</v>
      </c>
      <c r="B178" s="25">
        <v>44886</v>
      </c>
      <c r="E178" t="s">
        <v>27</v>
      </c>
      <c r="F178" t="s">
        <v>25</v>
      </c>
      <c r="H178" t="s">
        <v>274</v>
      </c>
      <c r="I178" s="28"/>
      <c r="J178" s="28">
        <v>2200</v>
      </c>
    </row>
    <row r="179" spans="1:10">
      <c r="A179" t="s">
        <v>103</v>
      </c>
      <c r="B179" s="25">
        <v>44886</v>
      </c>
      <c r="E179" t="s">
        <v>27</v>
      </c>
      <c r="F179" t="s">
        <v>25</v>
      </c>
      <c r="G179" t="s">
        <v>84</v>
      </c>
      <c r="H179" t="s">
        <v>279</v>
      </c>
      <c r="I179" s="28"/>
      <c r="J179" s="28">
        <v>6000</v>
      </c>
    </row>
    <row r="180" spans="1:10">
      <c r="A180" t="s">
        <v>103</v>
      </c>
      <c r="B180" s="25">
        <v>44887</v>
      </c>
      <c r="E180" t="s">
        <v>27</v>
      </c>
      <c r="F180" t="s">
        <v>25</v>
      </c>
      <c r="H180" t="s">
        <v>104</v>
      </c>
      <c r="I180" s="28"/>
      <c r="J180" s="28">
        <v>84</v>
      </c>
    </row>
    <row r="181" spans="1:10">
      <c r="A181" t="s">
        <v>103</v>
      </c>
      <c r="B181" s="25">
        <v>44893</v>
      </c>
      <c r="E181" t="s">
        <v>27</v>
      </c>
      <c r="F181" t="s">
        <v>25</v>
      </c>
      <c r="H181" t="s">
        <v>280</v>
      </c>
      <c r="I181" s="28"/>
      <c r="J181" s="28">
        <v>14110</v>
      </c>
    </row>
    <row r="182" spans="1:10">
      <c r="A182" t="s">
        <v>103</v>
      </c>
      <c r="B182" s="25">
        <v>44897</v>
      </c>
      <c r="E182" t="s">
        <v>27</v>
      </c>
      <c r="F182" t="s">
        <v>25</v>
      </c>
      <c r="H182" t="s">
        <v>281</v>
      </c>
      <c r="I182" s="28"/>
      <c r="J182" s="28">
        <v>700</v>
      </c>
    </row>
    <row r="183" spans="1:10">
      <c r="A183" t="s">
        <v>247</v>
      </c>
      <c r="B183" s="25">
        <v>44819</v>
      </c>
      <c r="E183" t="s">
        <v>245</v>
      </c>
      <c r="F183" t="s">
        <v>246</v>
      </c>
      <c r="H183" t="s">
        <v>248</v>
      </c>
      <c r="I183" s="28"/>
      <c r="J183" s="28">
        <v>5000</v>
      </c>
    </row>
    <row r="184" spans="1:10">
      <c r="A184" t="s">
        <v>247</v>
      </c>
      <c r="B184" s="25">
        <v>45016</v>
      </c>
      <c r="E184" t="s">
        <v>245</v>
      </c>
      <c r="F184" t="s">
        <v>246</v>
      </c>
      <c r="H184" t="s">
        <v>288</v>
      </c>
      <c r="I184" s="28"/>
      <c r="J184" s="28">
        <v>5000</v>
      </c>
    </row>
    <row r="185" spans="1:10">
      <c r="A185" t="s">
        <v>247</v>
      </c>
      <c r="B185" s="25">
        <v>45016</v>
      </c>
      <c r="E185" t="s">
        <v>245</v>
      </c>
      <c r="F185" t="s">
        <v>246</v>
      </c>
      <c r="H185" t="s">
        <v>289</v>
      </c>
      <c r="I185" s="28"/>
      <c r="J185" s="28">
        <v>10000</v>
      </c>
    </row>
    <row r="186" spans="1:10">
      <c r="A186" t="s">
        <v>247</v>
      </c>
      <c r="B186" s="25">
        <v>45016</v>
      </c>
      <c r="E186" t="s">
        <v>245</v>
      </c>
      <c r="F186" t="s">
        <v>246</v>
      </c>
      <c r="H186" t="s">
        <v>290</v>
      </c>
      <c r="I186" s="28"/>
      <c r="J186" s="28">
        <v>5000</v>
      </c>
    </row>
    <row r="187" spans="1:10">
      <c r="A187" t="s">
        <v>247</v>
      </c>
      <c r="B187" s="25">
        <v>45016</v>
      </c>
      <c r="E187" t="s">
        <v>245</v>
      </c>
      <c r="F187" t="s">
        <v>246</v>
      </c>
      <c r="H187" t="s">
        <v>291</v>
      </c>
      <c r="I187" s="28"/>
      <c r="J187" s="28">
        <v>5000</v>
      </c>
    </row>
    <row r="188" spans="1:10">
      <c r="A188" t="s">
        <v>247</v>
      </c>
      <c r="B188" s="25">
        <v>45016</v>
      </c>
      <c r="E188" t="s">
        <v>245</v>
      </c>
      <c r="F188" t="s">
        <v>246</v>
      </c>
      <c r="H188" t="s">
        <v>292</v>
      </c>
      <c r="I188" s="28"/>
      <c r="J188" s="28">
        <v>10000</v>
      </c>
    </row>
    <row r="189" spans="1:10">
      <c r="A189" t="s">
        <v>247</v>
      </c>
      <c r="B189" s="25">
        <v>45016</v>
      </c>
      <c r="E189" t="s">
        <v>245</v>
      </c>
      <c r="F189" t="s">
        <v>246</v>
      </c>
      <c r="H189" t="s">
        <v>293</v>
      </c>
      <c r="I189" s="28"/>
      <c r="J189" s="28">
        <v>5000</v>
      </c>
    </row>
    <row r="190" spans="1:10">
      <c r="A190" t="s">
        <v>247</v>
      </c>
      <c r="B190" s="25">
        <v>45016</v>
      </c>
      <c r="E190" t="s">
        <v>245</v>
      </c>
      <c r="F190" t="s">
        <v>246</v>
      </c>
      <c r="H190" t="s">
        <v>294</v>
      </c>
      <c r="I190" s="28"/>
      <c r="J190" s="28">
        <v>5000</v>
      </c>
    </row>
    <row r="191" spans="1:10">
      <c r="A191" t="s">
        <v>247</v>
      </c>
      <c r="B191" s="25">
        <v>45016</v>
      </c>
      <c r="E191" t="s">
        <v>245</v>
      </c>
      <c r="F191" t="s">
        <v>246</v>
      </c>
      <c r="H191" t="s">
        <v>295</v>
      </c>
      <c r="I191" s="28"/>
      <c r="J191" s="28">
        <v>5000</v>
      </c>
    </row>
    <row r="192" spans="1:10">
      <c r="A192" t="s">
        <v>247</v>
      </c>
      <c r="B192" s="25">
        <v>45016</v>
      </c>
      <c r="E192" t="s">
        <v>245</v>
      </c>
      <c r="F192" t="s">
        <v>246</v>
      </c>
      <c r="H192" t="s">
        <v>296</v>
      </c>
      <c r="I192" s="28"/>
      <c r="J192" s="28">
        <v>5000</v>
      </c>
    </row>
    <row r="193" spans="1:10">
      <c r="A193" t="s">
        <v>149</v>
      </c>
      <c r="B193" s="25">
        <v>44747</v>
      </c>
      <c r="C193" t="s">
        <v>135</v>
      </c>
      <c r="D193" t="s">
        <v>148</v>
      </c>
      <c r="H193" t="s">
        <v>150</v>
      </c>
      <c r="I193" s="28">
        <v>43000</v>
      </c>
      <c r="J193" s="28"/>
    </row>
    <row r="194" spans="1:10">
      <c r="A194" t="s">
        <v>149</v>
      </c>
      <c r="B194" s="25">
        <v>44748</v>
      </c>
      <c r="C194" t="s">
        <v>135</v>
      </c>
      <c r="D194" t="s">
        <v>148</v>
      </c>
      <c r="H194" t="s">
        <v>153</v>
      </c>
      <c r="I194" s="28">
        <v>43000</v>
      </c>
      <c r="J194" s="28"/>
    </row>
    <row r="195" spans="1:10">
      <c r="A195" t="s">
        <v>149</v>
      </c>
      <c r="B195" s="25">
        <v>44748</v>
      </c>
      <c r="C195" t="s">
        <v>135</v>
      </c>
      <c r="D195" t="s">
        <v>148</v>
      </c>
      <c r="H195" t="s">
        <v>154</v>
      </c>
      <c r="I195" s="28">
        <v>43000</v>
      </c>
      <c r="J195" s="28"/>
    </row>
    <row r="196" spans="1:10">
      <c r="A196" t="s">
        <v>149</v>
      </c>
      <c r="B196" s="25">
        <v>44748</v>
      </c>
      <c r="C196" t="s">
        <v>135</v>
      </c>
      <c r="D196" t="s">
        <v>148</v>
      </c>
      <c r="H196" t="s">
        <v>155</v>
      </c>
      <c r="I196" s="28">
        <v>43000</v>
      </c>
      <c r="J196" s="28"/>
    </row>
    <row r="197" spans="1:10">
      <c r="A197" t="s">
        <v>149</v>
      </c>
      <c r="B197" s="25">
        <v>44748</v>
      </c>
      <c r="C197" t="s">
        <v>135</v>
      </c>
      <c r="D197" t="s">
        <v>148</v>
      </c>
      <c r="H197" t="s">
        <v>157</v>
      </c>
      <c r="I197" s="28">
        <v>43000</v>
      </c>
      <c r="J197" s="28"/>
    </row>
    <row r="198" spans="1:10">
      <c r="A198" t="s">
        <v>149</v>
      </c>
      <c r="B198" s="25">
        <v>44748</v>
      </c>
      <c r="C198" t="s">
        <v>135</v>
      </c>
      <c r="D198" t="s">
        <v>148</v>
      </c>
      <c r="H198" t="s">
        <v>158</v>
      </c>
      <c r="I198" s="28">
        <v>43000</v>
      </c>
      <c r="J198" s="28"/>
    </row>
    <row r="199" spans="1:10">
      <c r="A199" t="s">
        <v>149</v>
      </c>
      <c r="B199" s="25">
        <v>44748</v>
      </c>
      <c r="C199" t="s">
        <v>135</v>
      </c>
      <c r="D199" t="s">
        <v>148</v>
      </c>
      <c r="H199" t="s">
        <v>159</v>
      </c>
      <c r="I199" s="28">
        <v>43000</v>
      </c>
      <c r="J199" s="28"/>
    </row>
    <row r="200" spans="1:10">
      <c r="A200" t="s">
        <v>149</v>
      </c>
      <c r="B200" s="25">
        <v>44748</v>
      </c>
      <c r="C200" t="s">
        <v>135</v>
      </c>
      <c r="D200" t="s">
        <v>148</v>
      </c>
      <c r="H200" t="s">
        <v>160</v>
      </c>
      <c r="I200" s="28">
        <v>43000</v>
      </c>
      <c r="J200" s="28"/>
    </row>
    <row r="201" spans="1:10">
      <c r="A201" t="s">
        <v>149</v>
      </c>
      <c r="B201" s="25">
        <v>44748</v>
      </c>
      <c r="C201" t="s">
        <v>135</v>
      </c>
      <c r="D201" t="s">
        <v>148</v>
      </c>
      <c r="H201" t="s">
        <v>163</v>
      </c>
      <c r="I201" s="28">
        <v>43000</v>
      </c>
      <c r="J201" s="28"/>
    </row>
    <row r="202" spans="1:10">
      <c r="A202" t="s">
        <v>149</v>
      </c>
      <c r="B202" s="25">
        <v>44749</v>
      </c>
      <c r="C202" t="s">
        <v>135</v>
      </c>
      <c r="D202" t="s">
        <v>148</v>
      </c>
      <c r="H202" t="s">
        <v>167</v>
      </c>
      <c r="I202" s="28">
        <v>43000</v>
      </c>
      <c r="J202" s="28"/>
    </row>
    <row r="203" spans="1:10">
      <c r="A203" t="s">
        <v>149</v>
      </c>
      <c r="B203" s="25">
        <v>44749</v>
      </c>
      <c r="C203" t="s">
        <v>135</v>
      </c>
      <c r="D203" t="s">
        <v>148</v>
      </c>
      <c r="H203" t="s">
        <v>168</v>
      </c>
      <c r="I203" s="28">
        <v>43000</v>
      </c>
      <c r="J203" s="28"/>
    </row>
    <row r="204" spans="1:10">
      <c r="A204" t="s">
        <v>149</v>
      </c>
      <c r="B204" s="25">
        <v>44749</v>
      </c>
      <c r="C204" t="s">
        <v>135</v>
      </c>
      <c r="D204" t="s">
        <v>148</v>
      </c>
      <c r="H204" t="s">
        <v>170</v>
      </c>
      <c r="I204" s="28">
        <v>43000</v>
      </c>
      <c r="J204" s="28"/>
    </row>
    <row r="205" spans="1:10">
      <c r="A205" t="s">
        <v>149</v>
      </c>
      <c r="B205" s="25">
        <v>44749</v>
      </c>
      <c r="C205" t="s">
        <v>135</v>
      </c>
      <c r="D205" t="s">
        <v>148</v>
      </c>
      <c r="H205" t="s">
        <v>173</v>
      </c>
      <c r="I205" s="28">
        <v>43000</v>
      </c>
      <c r="J205" s="28"/>
    </row>
    <row r="206" spans="1:10">
      <c r="A206" t="s">
        <v>149</v>
      </c>
      <c r="B206" s="25">
        <v>44749</v>
      </c>
      <c r="C206" t="s">
        <v>135</v>
      </c>
      <c r="D206" t="s">
        <v>148</v>
      </c>
      <c r="H206" t="s">
        <v>175</v>
      </c>
      <c r="I206" s="28">
        <v>43000</v>
      </c>
      <c r="J206" s="28"/>
    </row>
    <row r="207" spans="1:10">
      <c r="A207" t="s">
        <v>149</v>
      </c>
      <c r="B207" s="25">
        <v>44749</v>
      </c>
      <c r="C207" t="s">
        <v>135</v>
      </c>
      <c r="D207" t="s">
        <v>148</v>
      </c>
      <c r="H207" t="s">
        <v>176</v>
      </c>
      <c r="I207" s="28">
        <v>43000</v>
      </c>
      <c r="J207" s="28"/>
    </row>
    <row r="208" spans="1:10">
      <c r="A208" t="s">
        <v>149</v>
      </c>
      <c r="B208" s="25">
        <v>44749</v>
      </c>
      <c r="C208" t="s">
        <v>135</v>
      </c>
      <c r="D208" t="s">
        <v>148</v>
      </c>
      <c r="H208" t="s">
        <v>177</v>
      </c>
      <c r="I208" s="28">
        <v>43000</v>
      </c>
      <c r="J208" s="28"/>
    </row>
    <row r="209" spans="1:10">
      <c r="A209" t="s">
        <v>149</v>
      </c>
      <c r="B209" s="25">
        <v>44749</v>
      </c>
      <c r="C209" t="s">
        <v>135</v>
      </c>
      <c r="D209" t="s">
        <v>148</v>
      </c>
      <c r="H209" t="s">
        <v>178</v>
      </c>
      <c r="I209" s="28">
        <v>43000</v>
      </c>
      <c r="J209" s="28"/>
    </row>
    <row r="210" spans="1:10">
      <c r="A210" t="s">
        <v>149</v>
      </c>
      <c r="B210" s="25">
        <v>44749</v>
      </c>
      <c r="C210" t="s">
        <v>135</v>
      </c>
      <c r="D210" t="s">
        <v>148</v>
      </c>
      <c r="H210" t="s">
        <v>179</v>
      </c>
      <c r="I210" s="28">
        <v>43000</v>
      </c>
      <c r="J210" s="28"/>
    </row>
    <row r="211" spans="1:10">
      <c r="A211" t="s">
        <v>149</v>
      </c>
      <c r="B211" s="25">
        <v>44750</v>
      </c>
      <c r="C211" t="s">
        <v>135</v>
      </c>
      <c r="D211" t="s">
        <v>148</v>
      </c>
      <c r="H211" t="s">
        <v>180</v>
      </c>
      <c r="I211" s="28">
        <v>43000</v>
      </c>
      <c r="J211" s="28"/>
    </row>
    <row r="212" spans="1:10">
      <c r="A212" t="s">
        <v>149</v>
      </c>
      <c r="B212" s="25">
        <v>44750</v>
      </c>
      <c r="C212" t="s">
        <v>135</v>
      </c>
      <c r="D212" t="s">
        <v>148</v>
      </c>
      <c r="H212" t="s">
        <v>182</v>
      </c>
      <c r="I212" s="28">
        <v>43000</v>
      </c>
      <c r="J212" s="28"/>
    </row>
    <row r="213" spans="1:10">
      <c r="A213" t="s">
        <v>149</v>
      </c>
      <c r="B213" s="25">
        <v>44753</v>
      </c>
      <c r="C213" t="s">
        <v>135</v>
      </c>
      <c r="D213" t="s">
        <v>148</v>
      </c>
      <c r="H213" t="s">
        <v>186</v>
      </c>
      <c r="I213" s="28">
        <v>43000</v>
      </c>
      <c r="J213" s="28"/>
    </row>
    <row r="214" spans="1:10">
      <c r="A214" t="s">
        <v>149</v>
      </c>
      <c r="B214" s="25">
        <v>44753</v>
      </c>
      <c r="C214" t="s">
        <v>135</v>
      </c>
      <c r="D214" t="s">
        <v>148</v>
      </c>
      <c r="H214" t="s">
        <v>187</v>
      </c>
      <c r="I214" s="28">
        <v>43000</v>
      </c>
      <c r="J214" s="28"/>
    </row>
    <row r="215" spans="1:10">
      <c r="A215" t="s">
        <v>149</v>
      </c>
      <c r="B215" s="25">
        <v>44753</v>
      </c>
      <c r="C215" t="s">
        <v>135</v>
      </c>
      <c r="D215" t="s">
        <v>148</v>
      </c>
      <c r="H215" t="s">
        <v>188</v>
      </c>
      <c r="I215" s="28">
        <v>43000</v>
      </c>
      <c r="J215" s="28"/>
    </row>
    <row r="216" spans="1:10">
      <c r="A216" t="s">
        <v>149</v>
      </c>
      <c r="B216" s="25">
        <v>44753</v>
      </c>
      <c r="C216" t="s">
        <v>135</v>
      </c>
      <c r="D216" t="s">
        <v>148</v>
      </c>
      <c r="H216" t="s">
        <v>189</v>
      </c>
      <c r="I216" s="28">
        <v>43000</v>
      </c>
      <c r="J216" s="28"/>
    </row>
    <row r="217" spans="1:10">
      <c r="A217" t="s">
        <v>149</v>
      </c>
      <c r="B217" s="25">
        <v>44753</v>
      </c>
      <c r="C217" t="s">
        <v>135</v>
      </c>
      <c r="D217" t="s">
        <v>148</v>
      </c>
      <c r="H217" t="s">
        <v>190</v>
      </c>
      <c r="I217" s="28">
        <v>43000</v>
      </c>
      <c r="J217" s="28"/>
    </row>
    <row r="218" spans="1:10">
      <c r="A218" t="s">
        <v>149</v>
      </c>
      <c r="B218" s="25">
        <v>44754</v>
      </c>
      <c r="C218" t="s">
        <v>135</v>
      </c>
      <c r="D218" t="s">
        <v>148</v>
      </c>
      <c r="H218" t="s">
        <v>192</v>
      </c>
      <c r="I218" s="28">
        <v>43000</v>
      </c>
      <c r="J218" s="28"/>
    </row>
    <row r="219" spans="1:10">
      <c r="A219" t="s">
        <v>149</v>
      </c>
      <c r="B219" s="25">
        <v>44755</v>
      </c>
      <c r="C219" t="s">
        <v>135</v>
      </c>
      <c r="D219" t="s">
        <v>148</v>
      </c>
      <c r="H219" t="s">
        <v>193</v>
      </c>
      <c r="I219" s="28">
        <v>43000</v>
      </c>
      <c r="J219" s="28"/>
    </row>
    <row r="220" spans="1:10">
      <c r="A220" t="s">
        <v>149</v>
      </c>
      <c r="B220" s="25">
        <v>44755</v>
      </c>
      <c r="C220" t="s">
        <v>135</v>
      </c>
      <c r="D220" t="s">
        <v>148</v>
      </c>
      <c r="H220" t="s">
        <v>195</v>
      </c>
      <c r="I220" s="28">
        <v>43000</v>
      </c>
      <c r="J220" s="28"/>
    </row>
    <row r="221" spans="1:10">
      <c r="A221" t="s">
        <v>149</v>
      </c>
      <c r="B221" s="25">
        <v>44755</v>
      </c>
      <c r="C221" t="s">
        <v>135</v>
      </c>
      <c r="D221" t="s">
        <v>148</v>
      </c>
      <c r="H221" t="s">
        <v>196</v>
      </c>
      <c r="I221" s="28">
        <v>43000</v>
      </c>
      <c r="J221" s="28"/>
    </row>
    <row r="222" spans="1:10">
      <c r="A222" t="s">
        <v>149</v>
      </c>
      <c r="B222" s="25">
        <v>44757</v>
      </c>
      <c r="C222" t="s">
        <v>135</v>
      </c>
      <c r="D222" t="s">
        <v>148</v>
      </c>
      <c r="H222" t="s">
        <v>200</v>
      </c>
      <c r="I222" s="28">
        <v>43000</v>
      </c>
      <c r="J222" s="28"/>
    </row>
    <row r="223" spans="1:10">
      <c r="A223" t="s">
        <v>149</v>
      </c>
      <c r="B223" s="25">
        <v>44761</v>
      </c>
      <c r="C223" t="s">
        <v>135</v>
      </c>
      <c r="D223" t="s">
        <v>148</v>
      </c>
      <c r="H223" t="s">
        <v>204</v>
      </c>
      <c r="I223" s="28">
        <v>43000</v>
      </c>
      <c r="J223" s="28"/>
    </row>
    <row r="224" spans="1:10">
      <c r="A224" t="s">
        <v>149</v>
      </c>
      <c r="B224" s="25">
        <v>44762</v>
      </c>
      <c r="C224" t="s">
        <v>135</v>
      </c>
      <c r="D224" t="s">
        <v>148</v>
      </c>
      <c r="H224" t="s">
        <v>206</v>
      </c>
      <c r="I224" s="28">
        <v>43000</v>
      </c>
      <c r="J224" s="28"/>
    </row>
    <row r="225" spans="1:10">
      <c r="A225" t="s">
        <v>149</v>
      </c>
      <c r="B225" s="25">
        <v>44762</v>
      </c>
      <c r="C225" t="s">
        <v>135</v>
      </c>
      <c r="D225" t="s">
        <v>148</v>
      </c>
      <c r="H225" t="s">
        <v>208</v>
      </c>
      <c r="I225" s="28">
        <v>43000</v>
      </c>
      <c r="J225" s="28"/>
    </row>
    <row r="226" spans="1:10">
      <c r="A226" t="s">
        <v>149</v>
      </c>
      <c r="B226" s="25">
        <v>44767</v>
      </c>
      <c r="C226" t="s">
        <v>135</v>
      </c>
      <c r="D226" t="s">
        <v>148</v>
      </c>
      <c r="H226" t="s">
        <v>210</v>
      </c>
      <c r="I226" s="28">
        <v>43000</v>
      </c>
      <c r="J226" s="28"/>
    </row>
    <row r="227" spans="1:10">
      <c r="A227" t="s">
        <v>149</v>
      </c>
      <c r="B227" s="25">
        <v>44771</v>
      </c>
      <c r="C227" t="s">
        <v>135</v>
      </c>
      <c r="D227" t="s">
        <v>148</v>
      </c>
      <c r="H227" t="s">
        <v>212</v>
      </c>
      <c r="I227" s="28">
        <v>43000</v>
      </c>
      <c r="J227" s="28"/>
    </row>
    <row r="228" spans="1:10">
      <c r="A228" t="s">
        <v>149</v>
      </c>
      <c r="B228" s="25">
        <v>44771</v>
      </c>
      <c r="C228" t="s">
        <v>135</v>
      </c>
      <c r="D228" t="s">
        <v>148</v>
      </c>
      <c r="H228" t="s">
        <v>213</v>
      </c>
      <c r="I228" s="28">
        <v>43000</v>
      </c>
      <c r="J228" s="28"/>
    </row>
    <row r="229" spans="1:10">
      <c r="A229" t="s">
        <v>149</v>
      </c>
      <c r="B229" s="25">
        <v>44771</v>
      </c>
      <c r="C229" t="s">
        <v>135</v>
      </c>
      <c r="D229" t="s">
        <v>148</v>
      </c>
      <c r="H229" t="s">
        <v>214</v>
      </c>
      <c r="I229" s="28">
        <v>43000</v>
      </c>
      <c r="J229" s="28"/>
    </row>
    <row r="230" spans="1:10">
      <c r="A230" t="s">
        <v>149</v>
      </c>
      <c r="B230" s="25">
        <v>44771</v>
      </c>
      <c r="C230" t="s">
        <v>135</v>
      </c>
      <c r="D230" t="s">
        <v>148</v>
      </c>
      <c r="H230" t="s">
        <v>217</v>
      </c>
      <c r="I230" s="28">
        <v>43000</v>
      </c>
      <c r="J230" s="28"/>
    </row>
    <row r="231" spans="1:10">
      <c r="A231" t="s">
        <v>149</v>
      </c>
      <c r="B231" s="25">
        <v>44771</v>
      </c>
      <c r="C231" t="s">
        <v>135</v>
      </c>
      <c r="D231" t="s">
        <v>148</v>
      </c>
      <c r="H231" t="s">
        <v>218</v>
      </c>
      <c r="I231" s="28">
        <v>43000</v>
      </c>
      <c r="J231" s="28"/>
    </row>
    <row r="232" spans="1:10">
      <c r="A232" t="s">
        <v>149</v>
      </c>
      <c r="B232" s="25">
        <v>44772</v>
      </c>
      <c r="C232" t="s">
        <v>135</v>
      </c>
      <c r="D232" t="s">
        <v>148</v>
      </c>
      <c r="H232" t="s">
        <v>220</v>
      </c>
      <c r="I232" s="28">
        <v>43000</v>
      </c>
      <c r="J232" s="28"/>
    </row>
    <row r="233" spans="1:10">
      <c r="A233" t="s">
        <v>149</v>
      </c>
      <c r="B233" s="25">
        <v>44775</v>
      </c>
      <c r="C233" t="s">
        <v>135</v>
      </c>
      <c r="D233" t="s">
        <v>148</v>
      </c>
      <c r="H233" t="s">
        <v>221</v>
      </c>
      <c r="I233" s="28">
        <v>43000</v>
      </c>
      <c r="J233" s="28"/>
    </row>
    <row r="234" spans="1:10">
      <c r="A234" t="s">
        <v>149</v>
      </c>
      <c r="B234" s="25">
        <v>44786</v>
      </c>
      <c r="C234" t="s">
        <v>135</v>
      </c>
      <c r="D234" t="s">
        <v>148</v>
      </c>
      <c r="H234" t="s">
        <v>226</v>
      </c>
      <c r="I234" s="28">
        <v>43000</v>
      </c>
      <c r="J234" s="28"/>
    </row>
    <row r="235" spans="1:10">
      <c r="A235" t="s">
        <v>149</v>
      </c>
      <c r="B235" s="25">
        <v>44789</v>
      </c>
      <c r="C235" t="s">
        <v>135</v>
      </c>
      <c r="D235" t="s">
        <v>148</v>
      </c>
      <c r="H235" t="s">
        <v>227</v>
      </c>
      <c r="I235" s="28">
        <v>43000</v>
      </c>
      <c r="J235" s="28"/>
    </row>
    <row r="236" spans="1:10">
      <c r="A236" t="s">
        <v>149</v>
      </c>
      <c r="B236" s="25">
        <v>44795</v>
      </c>
      <c r="C236" t="s">
        <v>135</v>
      </c>
      <c r="D236" t="s">
        <v>148</v>
      </c>
      <c r="H236" t="s">
        <v>237</v>
      </c>
      <c r="I236" s="28">
        <v>43000</v>
      </c>
      <c r="J236" s="28"/>
    </row>
    <row r="237" spans="1:10">
      <c r="A237" t="s">
        <v>149</v>
      </c>
      <c r="B237" s="25">
        <v>44840</v>
      </c>
      <c r="C237" t="s">
        <v>135</v>
      </c>
      <c r="D237" t="s">
        <v>148</v>
      </c>
      <c r="H237" t="s">
        <v>259</v>
      </c>
      <c r="I237" s="28">
        <v>43000</v>
      </c>
      <c r="J237" s="28"/>
    </row>
    <row r="238" spans="1:10">
      <c r="A238" t="s">
        <v>137</v>
      </c>
      <c r="B238" s="25">
        <v>44746</v>
      </c>
      <c r="C238" t="s">
        <v>135</v>
      </c>
      <c r="D238" t="s">
        <v>136</v>
      </c>
      <c r="H238" t="s">
        <v>138</v>
      </c>
      <c r="I238" s="28">
        <v>184000</v>
      </c>
      <c r="J238" s="28"/>
    </row>
    <row r="239" spans="1:10">
      <c r="A239" t="s">
        <v>137</v>
      </c>
      <c r="B239" s="25">
        <v>44747</v>
      </c>
      <c r="C239" t="s">
        <v>135</v>
      </c>
      <c r="D239" t="s">
        <v>136</v>
      </c>
      <c r="H239" t="s">
        <v>151</v>
      </c>
      <c r="I239" s="28">
        <v>23000</v>
      </c>
      <c r="J239" s="28"/>
    </row>
    <row r="240" spans="1:10">
      <c r="A240" t="s">
        <v>137</v>
      </c>
      <c r="B240" s="25">
        <v>44747</v>
      </c>
      <c r="C240" t="s">
        <v>135</v>
      </c>
      <c r="D240" t="s">
        <v>136</v>
      </c>
      <c r="H240" t="s">
        <v>152</v>
      </c>
      <c r="I240" s="28">
        <v>23000</v>
      </c>
      <c r="J240" s="28"/>
    </row>
    <row r="241" spans="1:10">
      <c r="A241" t="s">
        <v>137</v>
      </c>
      <c r="B241" s="25">
        <v>44748</v>
      </c>
      <c r="C241" t="s">
        <v>135</v>
      </c>
      <c r="D241" t="s">
        <v>136</v>
      </c>
      <c r="H241" t="s">
        <v>156</v>
      </c>
      <c r="I241" s="28">
        <v>23000</v>
      </c>
      <c r="J241" s="28"/>
    </row>
    <row r="242" spans="1:10">
      <c r="A242" t="s">
        <v>137</v>
      </c>
      <c r="B242" s="25">
        <v>44748</v>
      </c>
      <c r="C242" t="s">
        <v>135</v>
      </c>
      <c r="D242" t="s">
        <v>136</v>
      </c>
      <c r="H242" t="s">
        <v>161</v>
      </c>
      <c r="I242" s="28">
        <v>23000</v>
      </c>
      <c r="J242" s="28"/>
    </row>
    <row r="243" spans="1:10">
      <c r="A243" t="s">
        <v>137</v>
      </c>
      <c r="B243" s="25">
        <v>44748</v>
      </c>
      <c r="C243" t="s">
        <v>135</v>
      </c>
      <c r="D243" t="s">
        <v>136</v>
      </c>
      <c r="H243" t="s">
        <v>162</v>
      </c>
      <c r="I243" s="28">
        <v>23000</v>
      </c>
      <c r="J243" s="28"/>
    </row>
    <row r="244" spans="1:10">
      <c r="A244" t="s">
        <v>137</v>
      </c>
      <c r="B244" s="25">
        <v>44748</v>
      </c>
      <c r="C244" t="s">
        <v>135</v>
      </c>
      <c r="D244" t="s">
        <v>136</v>
      </c>
      <c r="H244" t="s">
        <v>164</v>
      </c>
      <c r="I244" s="28">
        <v>23000</v>
      </c>
      <c r="J244" s="28"/>
    </row>
    <row r="245" spans="1:10">
      <c r="A245" t="s">
        <v>137</v>
      </c>
      <c r="B245" s="25">
        <v>44748</v>
      </c>
      <c r="C245" t="s">
        <v>135</v>
      </c>
      <c r="D245" t="s">
        <v>136</v>
      </c>
      <c r="H245" t="s">
        <v>165</v>
      </c>
      <c r="I245" s="28">
        <v>23000</v>
      </c>
      <c r="J245" s="28"/>
    </row>
    <row r="246" spans="1:10">
      <c r="A246" t="s">
        <v>137</v>
      </c>
      <c r="B246" s="25">
        <v>44749</v>
      </c>
      <c r="C246" t="s">
        <v>135</v>
      </c>
      <c r="D246" t="s">
        <v>136</v>
      </c>
      <c r="H246" t="s">
        <v>166</v>
      </c>
      <c r="I246" s="28">
        <v>23000</v>
      </c>
      <c r="J246" s="28"/>
    </row>
    <row r="247" spans="1:10">
      <c r="A247" t="s">
        <v>137</v>
      </c>
      <c r="B247" s="25">
        <v>44749</v>
      </c>
      <c r="C247" t="s">
        <v>135</v>
      </c>
      <c r="D247" t="s">
        <v>136</v>
      </c>
      <c r="H247" t="s">
        <v>169</v>
      </c>
      <c r="I247" s="28">
        <v>23000</v>
      </c>
      <c r="J247" s="28"/>
    </row>
    <row r="248" spans="1:10">
      <c r="A248" t="s">
        <v>137</v>
      </c>
      <c r="B248" s="25">
        <v>44749</v>
      </c>
      <c r="C248" t="s">
        <v>135</v>
      </c>
      <c r="D248" t="s">
        <v>136</v>
      </c>
      <c r="H248" t="s">
        <v>171</v>
      </c>
      <c r="I248" s="28">
        <v>23000</v>
      </c>
      <c r="J248" s="28"/>
    </row>
    <row r="249" spans="1:10">
      <c r="A249" t="s">
        <v>137</v>
      </c>
      <c r="B249" s="25">
        <v>44749</v>
      </c>
      <c r="C249" t="s">
        <v>135</v>
      </c>
      <c r="D249" t="s">
        <v>136</v>
      </c>
      <c r="H249" t="s">
        <v>172</v>
      </c>
      <c r="I249" s="28">
        <v>23000</v>
      </c>
      <c r="J249" s="28"/>
    </row>
    <row r="250" spans="1:10">
      <c r="A250" t="s">
        <v>137</v>
      </c>
      <c r="B250" s="25">
        <v>44749</v>
      </c>
      <c r="C250" t="s">
        <v>135</v>
      </c>
      <c r="D250" t="s">
        <v>136</v>
      </c>
      <c r="H250" t="s">
        <v>174</v>
      </c>
      <c r="I250" s="28">
        <v>23000</v>
      </c>
      <c r="J250" s="28"/>
    </row>
    <row r="251" spans="1:10">
      <c r="A251" t="s">
        <v>137</v>
      </c>
      <c r="B251" s="25">
        <v>44750</v>
      </c>
      <c r="C251" t="s">
        <v>135</v>
      </c>
      <c r="D251" t="s">
        <v>136</v>
      </c>
      <c r="H251" t="s">
        <v>181</v>
      </c>
      <c r="I251" s="28">
        <v>23000</v>
      </c>
      <c r="J251" s="28"/>
    </row>
    <row r="252" spans="1:10">
      <c r="A252" t="s">
        <v>137</v>
      </c>
      <c r="B252" s="25">
        <v>44750</v>
      </c>
      <c r="C252" t="s">
        <v>135</v>
      </c>
      <c r="D252" t="s">
        <v>136</v>
      </c>
      <c r="H252" t="s">
        <v>183</v>
      </c>
      <c r="I252" s="28">
        <v>23000</v>
      </c>
      <c r="J252" s="28"/>
    </row>
    <row r="253" spans="1:10">
      <c r="A253" t="s">
        <v>137</v>
      </c>
      <c r="B253" s="25">
        <v>44750</v>
      </c>
      <c r="C253" t="s">
        <v>135</v>
      </c>
      <c r="D253" t="s">
        <v>136</v>
      </c>
      <c r="H253" t="s">
        <v>184</v>
      </c>
      <c r="I253" s="28">
        <v>23000</v>
      </c>
      <c r="J253" s="28"/>
    </row>
    <row r="254" spans="1:10">
      <c r="A254" t="s">
        <v>137</v>
      </c>
      <c r="B254" s="25">
        <v>44750</v>
      </c>
      <c r="C254" t="s">
        <v>135</v>
      </c>
      <c r="D254" t="s">
        <v>136</v>
      </c>
      <c r="H254" t="s">
        <v>185</v>
      </c>
      <c r="I254" s="28">
        <v>23000</v>
      </c>
      <c r="J254" s="28"/>
    </row>
    <row r="255" spans="1:10">
      <c r="A255" t="s">
        <v>137</v>
      </c>
      <c r="B255" s="25">
        <v>44754</v>
      </c>
      <c r="C255" t="s">
        <v>135</v>
      </c>
      <c r="D255" t="s">
        <v>136</v>
      </c>
      <c r="H255" t="s">
        <v>191</v>
      </c>
      <c r="I255" s="28">
        <v>23000</v>
      </c>
      <c r="J255" s="28"/>
    </row>
    <row r="256" spans="1:10">
      <c r="A256" t="s">
        <v>137</v>
      </c>
      <c r="B256" s="25">
        <v>44755</v>
      </c>
      <c r="C256" t="s">
        <v>135</v>
      </c>
      <c r="D256" t="s">
        <v>136</v>
      </c>
      <c r="H256" t="s">
        <v>194</v>
      </c>
      <c r="I256" s="28">
        <v>23000</v>
      </c>
      <c r="J256" s="28"/>
    </row>
    <row r="257" spans="1:10">
      <c r="A257" t="s">
        <v>137</v>
      </c>
      <c r="B257" s="25">
        <v>44755</v>
      </c>
      <c r="C257" t="s">
        <v>135</v>
      </c>
      <c r="D257" t="s">
        <v>136</v>
      </c>
      <c r="H257" t="s">
        <v>197</v>
      </c>
      <c r="I257" s="28">
        <v>23000</v>
      </c>
      <c r="J257" s="28"/>
    </row>
    <row r="258" spans="1:10">
      <c r="A258" t="s">
        <v>137</v>
      </c>
      <c r="B258" s="25">
        <v>44755</v>
      </c>
      <c r="C258" t="s">
        <v>135</v>
      </c>
      <c r="D258" t="s">
        <v>136</v>
      </c>
      <c r="H258" t="s">
        <v>198</v>
      </c>
      <c r="I258" s="28">
        <v>23000</v>
      </c>
      <c r="J258" s="28"/>
    </row>
    <row r="259" spans="1:10">
      <c r="A259" t="s">
        <v>137</v>
      </c>
      <c r="B259" s="25">
        <v>44756</v>
      </c>
      <c r="C259" t="s">
        <v>135</v>
      </c>
      <c r="D259" t="s">
        <v>136</v>
      </c>
      <c r="H259" t="s">
        <v>199</v>
      </c>
      <c r="I259" s="28">
        <v>23000</v>
      </c>
      <c r="J259" s="28"/>
    </row>
    <row r="260" spans="1:10">
      <c r="A260" t="s">
        <v>137</v>
      </c>
      <c r="B260" s="25">
        <v>44757</v>
      </c>
      <c r="C260" t="s">
        <v>135</v>
      </c>
      <c r="D260" t="s">
        <v>136</v>
      </c>
      <c r="H260" t="s">
        <v>201</v>
      </c>
      <c r="I260" s="28">
        <v>23000</v>
      </c>
      <c r="J260" s="28"/>
    </row>
    <row r="261" spans="1:10">
      <c r="A261" t="s">
        <v>137</v>
      </c>
      <c r="B261" s="25">
        <v>44757</v>
      </c>
      <c r="C261" t="s">
        <v>135</v>
      </c>
      <c r="D261" t="s">
        <v>136</v>
      </c>
      <c r="H261" t="s">
        <v>202</v>
      </c>
      <c r="I261" s="28">
        <v>23000</v>
      </c>
      <c r="J261" s="28"/>
    </row>
    <row r="262" spans="1:10">
      <c r="A262" t="s">
        <v>137</v>
      </c>
      <c r="B262" s="25">
        <v>44758</v>
      </c>
      <c r="C262" t="s">
        <v>135</v>
      </c>
      <c r="D262" t="s">
        <v>136</v>
      </c>
      <c r="H262" t="s">
        <v>203</v>
      </c>
      <c r="I262" s="28">
        <v>23000</v>
      </c>
      <c r="J262" s="28"/>
    </row>
    <row r="263" spans="1:10">
      <c r="A263" t="s">
        <v>137</v>
      </c>
      <c r="B263" s="25">
        <v>44762</v>
      </c>
      <c r="C263" t="s">
        <v>135</v>
      </c>
      <c r="D263" t="s">
        <v>136</v>
      </c>
      <c r="H263" t="s">
        <v>207</v>
      </c>
      <c r="I263" s="28">
        <v>23000</v>
      </c>
      <c r="J263" s="28"/>
    </row>
    <row r="264" spans="1:10">
      <c r="A264" t="s">
        <v>137</v>
      </c>
      <c r="B264" s="25">
        <v>44771</v>
      </c>
      <c r="C264" t="s">
        <v>135</v>
      </c>
      <c r="D264" t="s">
        <v>136</v>
      </c>
      <c r="H264" t="s">
        <v>219</v>
      </c>
      <c r="I264" s="28">
        <v>23000</v>
      </c>
      <c r="J264" s="28"/>
    </row>
    <row r="265" spans="1:10">
      <c r="A265" t="s">
        <v>137</v>
      </c>
      <c r="B265" s="25">
        <v>44785</v>
      </c>
      <c r="C265" t="s">
        <v>135</v>
      </c>
      <c r="D265" t="s">
        <v>136</v>
      </c>
      <c r="H265" t="s">
        <v>223</v>
      </c>
      <c r="I265" s="28">
        <v>23000</v>
      </c>
      <c r="J265" s="28"/>
    </row>
    <row r="266" spans="1:10">
      <c r="A266" t="s">
        <v>137</v>
      </c>
      <c r="B266" s="25">
        <v>44795</v>
      </c>
      <c r="C266" t="s">
        <v>135</v>
      </c>
      <c r="D266" t="s">
        <v>136</v>
      </c>
      <c r="H266" t="s">
        <v>238</v>
      </c>
      <c r="I266" s="28">
        <v>23000</v>
      </c>
      <c r="J266" s="28"/>
    </row>
    <row r="267" spans="1:10">
      <c r="A267" t="s">
        <v>137</v>
      </c>
      <c r="B267" s="25">
        <v>44796</v>
      </c>
      <c r="C267" t="s">
        <v>135</v>
      </c>
      <c r="D267" t="s">
        <v>136</v>
      </c>
      <c r="H267" t="s">
        <v>239</v>
      </c>
      <c r="I267" s="28">
        <v>23000</v>
      </c>
      <c r="J267" s="28"/>
    </row>
    <row r="268" spans="1:10">
      <c r="A268" t="s">
        <v>137</v>
      </c>
      <c r="B268" s="25">
        <v>44798</v>
      </c>
      <c r="C268" t="s">
        <v>135</v>
      </c>
      <c r="D268" t="s">
        <v>136</v>
      </c>
      <c r="H268" t="s">
        <v>240</v>
      </c>
      <c r="I268" s="28">
        <v>23000</v>
      </c>
      <c r="J268" s="28"/>
    </row>
    <row r="269" spans="1:10">
      <c r="A269" t="s">
        <v>137</v>
      </c>
      <c r="B269" s="25">
        <v>44803</v>
      </c>
      <c r="C269" t="s">
        <v>135</v>
      </c>
      <c r="D269" t="s">
        <v>136</v>
      </c>
      <c r="H269" t="s">
        <v>241</v>
      </c>
      <c r="I269" s="28">
        <v>23000</v>
      </c>
      <c r="J269" s="28"/>
    </row>
    <row r="270" spans="1:10">
      <c r="A270" t="s">
        <v>140</v>
      </c>
      <c r="B270" s="25">
        <v>44746</v>
      </c>
      <c r="C270" t="s">
        <v>135</v>
      </c>
      <c r="D270" t="s">
        <v>139</v>
      </c>
      <c r="H270" t="s">
        <v>141</v>
      </c>
      <c r="I270" s="28">
        <v>70000</v>
      </c>
      <c r="J270" s="28"/>
    </row>
    <row r="271" spans="1:10">
      <c r="A271" t="s">
        <v>87</v>
      </c>
      <c r="B271" s="25">
        <v>44709</v>
      </c>
      <c r="C271" t="s">
        <v>37</v>
      </c>
      <c r="D271" t="s">
        <v>38</v>
      </c>
      <c r="G271" t="s">
        <v>86</v>
      </c>
      <c r="H271" t="s">
        <v>88</v>
      </c>
      <c r="I271" s="28">
        <v>2000</v>
      </c>
      <c r="J271" s="28"/>
    </row>
    <row r="272" spans="1:10">
      <c r="A272" t="s">
        <v>87</v>
      </c>
      <c r="B272" s="25">
        <v>44709</v>
      </c>
      <c r="C272" t="s">
        <v>37</v>
      </c>
      <c r="D272" t="s">
        <v>38</v>
      </c>
      <c r="G272" t="s">
        <v>86</v>
      </c>
      <c r="H272" t="s">
        <v>89</v>
      </c>
      <c r="I272" s="28">
        <v>2000</v>
      </c>
      <c r="J272" s="28"/>
    </row>
    <row r="273" spans="1:10">
      <c r="A273" t="s">
        <v>87</v>
      </c>
      <c r="B273" s="25">
        <v>44711</v>
      </c>
      <c r="C273" t="s">
        <v>37</v>
      </c>
      <c r="D273" t="s">
        <v>38</v>
      </c>
      <c r="G273" t="s">
        <v>86</v>
      </c>
      <c r="H273" t="s">
        <v>90</v>
      </c>
      <c r="I273" s="28">
        <v>50000</v>
      </c>
      <c r="J273" s="28"/>
    </row>
    <row r="274" spans="1:10">
      <c r="A274" t="s">
        <v>87</v>
      </c>
      <c r="B274" s="25">
        <v>44714</v>
      </c>
      <c r="C274" t="s">
        <v>37</v>
      </c>
      <c r="D274" t="s">
        <v>38</v>
      </c>
      <c r="G274" t="s">
        <v>86</v>
      </c>
      <c r="H274" t="s">
        <v>94</v>
      </c>
      <c r="I274" s="28">
        <v>2000</v>
      </c>
      <c r="J274" s="28"/>
    </row>
    <row r="275" spans="1:10">
      <c r="A275" t="s">
        <v>121</v>
      </c>
      <c r="B275" s="25">
        <v>44722</v>
      </c>
      <c r="C275" t="s">
        <v>37</v>
      </c>
      <c r="D275" t="s">
        <v>39</v>
      </c>
      <c r="G275" t="s">
        <v>84</v>
      </c>
      <c r="H275" t="s">
        <v>50</v>
      </c>
      <c r="I275" s="28">
        <v>25000</v>
      </c>
      <c r="J275" s="28"/>
    </row>
    <row r="276" spans="1:10">
      <c r="A276" t="s">
        <v>121</v>
      </c>
      <c r="B276" s="25">
        <v>44733</v>
      </c>
      <c r="C276" t="s">
        <v>37</v>
      </c>
      <c r="D276" t="s">
        <v>39</v>
      </c>
      <c r="G276" t="s">
        <v>84</v>
      </c>
      <c r="H276" t="s">
        <v>47</v>
      </c>
      <c r="I276" s="28">
        <v>25001</v>
      </c>
      <c r="J276" s="28"/>
    </row>
    <row r="277" spans="1:10">
      <c r="A277" t="s">
        <v>121</v>
      </c>
      <c r="B277" s="25">
        <v>44742</v>
      </c>
      <c r="C277" t="s">
        <v>37</v>
      </c>
      <c r="D277" t="s">
        <v>39</v>
      </c>
      <c r="G277" t="s">
        <v>84</v>
      </c>
      <c r="H277" t="s">
        <v>126</v>
      </c>
      <c r="I277" s="28">
        <v>50000</v>
      </c>
      <c r="J277" s="28"/>
    </row>
    <row r="278" spans="1:10">
      <c r="A278" t="s">
        <v>121</v>
      </c>
      <c r="B278" s="25">
        <v>44742</v>
      </c>
      <c r="C278" t="s">
        <v>37</v>
      </c>
      <c r="D278" t="s">
        <v>39</v>
      </c>
      <c r="G278" t="s">
        <v>84</v>
      </c>
      <c r="H278" t="s">
        <v>127</v>
      </c>
      <c r="I278" s="28">
        <v>25000</v>
      </c>
      <c r="J278" s="28"/>
    </row>
    <row r="279" spans="1:10">
      <c r="A279" t="s">
        <v>121</v>
      </c>
      <c r="B279" s="25">
        <v>44767</v>
      </c>
      <c r="C279" t="s">
        <v>37</v>
      </c>
      <c r="D279" t="s">
        <v>39</v>
      </c>
      <c r="G279" t="s">
        <v>84</v>
      </c>
      <c r="H279" t="s">
        <v>209</v>
      </c>
      <c r="I279" s="28">
        <v>25000</v>
      </c>
      <c r="J279" s="28"/>
    </row>
    <row r="280" spans="1:10">
      <c r="A280" t="s">
        <v>121</v>
      </c>
      <c r="B280" s="25">
        <v>44771</v>
      </c>
      <c r="C280" t="s">
        <v>37</v>
      </c>
      <c r="D280" t="s">
        <v>39</v>
      </c>
      <c r="H280" t="s">
        <v>51</v>
      </c>
      <c r="I280" s="28">
        <v>25000</v>
      </c>
      <c r="J280" s="28"/>
    </row>
    <row r="281" spans="1:10">
      <c r="A281" t="s">
        <v>121</v>
      </c>
      <c r="B281" s="25">
        <v>44771</v>
      </c>
      <c r="C281" t="s">
        <v>37</v>
      </c>
      <c r="D281" t="s">
        <v>39</v>
      </c>
      <c r="H281" t="s">
        <v>215</v>
      </c>
      <c r="I281" s="28">
        <v>25000</v>
      </c>
      <c r="J281" s="28"/>
    </row>
    <row r="282" spans="1:10">
      <c r="A282" t="s">
        <v>121</v>
      </c>
      <c r="B282" s="25">
        <v>44771</v>
      </c>
      <c r="C282" t="s">
        <v>37</v>
      </c>
      <c r="D282" t="s">
        <v>39</v>
      </c>
      <c r="H282" t="s">
        <v>216</v>
      </c>
      <c r="I282" s="28">
        <v>50000</v>
      </c>
      <c r="J282" s="28"/>
    </row>
    <row r="283" spans="1:10">
      <c r="A283" t="s">
        <v>121</v>
      </c>
      <c r="B283" s="25">
        <v>44771</v>
      </c>
      <c r="C283" t="s">
        <v>37</v>
      </c>
      <c r="D283" t="s">
        <v>39</v>
      </c>
      <c r="H283" t="s">
        <v>52</v>
      </c>
      <c r="I283" s="28">
        <v>25000</v>
      </c>
      <c r="J283" s="28"/>
    </row>
    <row r="284" spans="1:10">
      <c r="A284" t="s">
        <v>121</v>
      </c>
      <c r="B284" s="25">
        <v>44771</v>
      </c>
      <c r="C284" t="s">
        <v>37</v>
      </c>
      <c r="D284" t="s">
        <v>39</v>
      </c>
      <c r="H284" t="s">
        <v>49</v>
      </c>
      <c r="I284" s="28">
        <v>25000</v>
      </c>
      <c r="J284" s="28"/>
    </row>
    <row r="285" spans="1:10">
      <c r="A285" t="s">
        <v>121</v>
      </c>
      <c r="B285" s="25">
        <v>44783</v>
      </c>
      <c r="C285" t="s">
        <v>37</v>
      </c>
      <c r="D285" t="s">
        <v>39</v>
      </c>
      <c r="H285" t="s">
        <v>48</v>
      </c>
      <c r="I285" s="28">
        <v>25000</v>
      </c>
      <c r="J285" s="28"/>
    </row>
    <row r="286" spans="1:10">
      <c r="A286" t="s">
        <v>121</v>
      </c>
      <c r="B286" s="25">
        <v>44783</v>
      </c>
      <c r="C286" t="s">
        <v>37</v>
      </c>
      <c r="D286" t="s">
        <v>39</v>
      </c>
      <c r="H286" t="s">
        <v>222</v>
      </c>
      <c r="I286" s="28">
        <v>25000</v>
      </c>
      <c r="J286" s="28"/>
    </row>
    <row r="287" spans="1:10">
      <c r="A287" t="s">
        <v>121</v>
      </c>
      <c r="B287" s="25">
        <v>44824</v>
      </c>
      <c r="C287" t="s">
        <v>37</v>
      </c>
      <c r="D287" t="s">
        <v>39</v>
      </c>
      <c r="G287" t="s">
        <v>84</v>
      </c>
      <c r="H287" t="s">
        <v>53</v>
      </c>
      <c r="I287" s="28">
        <v>25000</v>
      </c>
      <c r="J287" s="28"/>
    </row>
    <row r="288" spans="1:10">
      <c r="A288" t="s">
        <v>121</v>
      </c>
      <c r="B288" s="25">
        <v>44854</v>
      </c>
      <c r="C288" t="s">
        <v>37</v>
      </c>
      <c r="D288" t="s">
        <v>39</v>
      </c>
      <c r="G288" t="s">
        <v>84</v>
      </c>
      <c r="H288" t="s">
        <v>270</v>
      </c>
      <c r="I288" s="28">
        <v>25000</v>
      </c>
      <c r="J288" s="28"/>
    </row>
    <row r="289" spans="1:10">
      <c r="A289" t="s">
        <v>121</v>
      </c>
      <c r="B289" s="25">
        <v>44922</v>
      </c>
      <c r="C289" t="s">
        <v>37</v>
      </c>
      <c r="D289" t="s">
        <v>39</v>
      </c>
      <c r="G289" t="s">
        <v>84</v>
      </c>
      <c r="H289" t="s">
        <v>47</v>
      </c>
      <c r="I289" s="28">
        <v>25000</v>
      </c>
      <c r="J289" s="28"/>
    </row>
    <row r="290" spans="1:10">
      <c r="A290" t="s">
        <v>121</v>
      </c>
      <c r="B290" s="25">
        <v>44922</v>
      </c>
      <c r="C290" t="s">
        <v>37</v>
      </c>
      <c r="D290" t="s">
        <v>39</v>
      </c>
      <c r="G290" t="s">
        <v>84</v>
      </c>
      <c r="H290" t="s">
        <v>50</v>
      </c>
      <c r="I290" s="28">
        <v>25000</v>
      </c>
      <c r="J290" s="28"/>
    </row>
    <row r="291" spans="1:10">
      <c r="A291" t="s">
        <v>121</v>
      </c>
      <c r="B291" s="25">
        <v>44923</v>
      </c>
      <c r="C291" t="s">
        <v>37</v>
      </c>
      <c r="D291" t="s">
        <v>39</v>
      </c>
      <c r="G291" t="s">
        <v>84</v>
      </c>
      <c r="H291" t="s">
        <v>286</v>
      </c>
      <c r="I291" s="28">
        <v>25000</v>
      </c>
      <c r="J291" s="28"/>
    </row>
    <row r="292" spans="1:10">
      <c r="A292" t="s">
        <v>121</v>
      </c>
      <c r="B292" s="25">
        <v>44957</v>
      </c>
      <c r="C292" t="s">
        <v>37</v>
      </c>
      <c r="D292" t="s">
        <v>39</v>
      </c>
      <c r="H292" t="s">
        <v>126</v>
      </c>
      <c r="I292" s="28">
        <v>50000</v>
      </c>
      <c r="J292" s="28"/>
    </row>
    <row r="293" spans="1:10">
      <c r="A293" t="s">
        <v>121</v>
      </c>
      <c r="B293" s="25">
        <v>44957</v>
      </c>
      <c r="C293" t="s">
        <v>37</v>
      </c>
      <c r="D293" t="s">
        <v>39</v>
      </c>
      <c r="H293" t="s">
        <v>216</v>
      </c>
      <c r="I293" s="28">
        <v>50000</v>
      </c>
      <c r="J293" s="28"/>
    </row>
    <row r="294" spans="1:10">
      <c r="A294" t="s">
        <v>121</v>
      </c>
      <c r="B294" s="25">
        <v>44957</v>
      </c>
      <c r="C294" t="s">
        <v>37</v>
      </c>
      <c r="D294" t="s">
        <v>39</v>
      </c>
      <c r="H294" t="s">
        <v>49</v>
      </c>
      <c r="I294" s="28">
        <v>25000</v>
      </c>
      <c r="J294" s="28"/>
    </row>
    <row r="295" spans="1:10">
      <c r="A295" t="s">
        <v>224</v>
      </c>
      <c r="B295" s="25">
        <v>44786</v>
      </c>
      <c r="C295" t="s">
        <v>37</v>
      </c>
      <c r="D295" t="s">
        <v>37</v>
      </c>
      <c r="H295" t="s">
        <v>225</v>
      </c>
      <c r="I295" s="28">
        <v>26</v>
      </c>
      <c r="J295" s="28"/>
    </row>
    <row r="296" spans="1:10">
      <c r="A296" t="s">
        <v>235</v>
      </c>
      <c r="B296" s="25">
        <v>44792</v>
      </c>
      <c r="C296" t="s">
        <v>234</v>
      </c>
      <c r="D296" t="s">
        <v>234</v>
      </c>
      <c r="H296" t="s">
        <v>236</v>
      </c>
      <c r="I296" s="28">
        <v>500000</v>
      </c>
      <c r="J296" s="28"/>
    </row>
    <row r="297" spans="1:10">
      <c r="A297" t="s">
        <v>235</v>
      </c>
      <c r="B297" s="25">
        <v>44950</v>
      </c>
      <c r="C297" t="s">
        <v>234</v>
      </c>
      <c r="D297" t="s">
        <v>234</v>
      </c>
      <c r="H297" t="s">
        <v>310</v>
      </c>
      <c r="I297" s="28">
        <v>65000</v>
      </c>
      <c r="J297" s="28"/>
    </row>
    <row r="298" spans="1:10">
      <c r="A298" t="s">
        <v>34</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7" sqref="B7"/>
    </sheetView>
  </sheetViews>
  <sheetFormatPr defaultRowHeight="14.5"/>
  <cols>
    <col min="1" max="1" width="27" customWidth="1"/>
    <col min="2" max="2" width="61.1796875" bestFit="1" customWidth="1"/>
    <col min="3" max="3" width="50.08984375" customWidth="1"/>
  </cols>
  <sheetData>
    <row r="1" spans="1:3" ht="15" thickBot="1">
      <c r="A1" s="1" t="s">
        <v>3</v>
      </c>
      <c r="B1" s="1" t="s">
        <v>2</v>
      </c>
      <c r="C1" s="1" t="s">
        <v>4</v>
      </c>
    </row>
    <row r="2" spans="1:3" ht="30.5" customHeight="1" thickBot="1">
      <c r="A2" s="3" t="s">
        <v>0</v>
      </c>
      <c r="B2" s="2" t="s">
        <v>1</v>
      </c>
      <c r="C2" t="s">
        <v>6</v>
      </c>
    </row>
    <row r="3" spans="1:3" ht="44" thickBot="1">
      <c r="A3" s="3" t="s">
        <v>5</v>
      </c>
      <c r="B3" s="2" t="s">
        <v>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G12" sqref="G12"/>
    </sheetView>
  </sheetViews>
  <sheetFormatPr defaultRowHeight="14.5"/>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54</v>
      </c>
    </row>
    <row r="2" spans="1:7" ht="21">
      <c r="B2" s="10" t="s">
        <v>46</v>
      </c>
    </row>
    <row r="3" spans="1:7">
      <c r="F3" t="s">
        <v>29</v>
      </c>
    </row>
    <row r="4" spans="1:7">
      <c r="F4" t="s">
        <v>23</v>
      </c>
    </row>
    <row r="5" spans="1:7">
      <c r="G5" t="s">
        <v>33</v>
      </c>
    </row>
    <row r="6" spans="1:7" ht="18.5">
      <c r="B6" s="9" t="s">
        <v>34</v>
      </c>
      <c r="F6" s="11"/>
    </row>
    <row r="7" spans="1:7">
      <c r="B7" s="4" t="s">
        <v>20</v>
      </c>
      <c r="C7" s="5" t="s">
        <v>37</v>
      </c>
      <c r="D7" s="5" t="s">
        <v>38</v>
      </c>
      <c r="E7" s="5"/>
      <c r="F7" s="12"/>
      <c r="G7" s="13">
        <v>494000</v>
      </c>
    </row>
    <row r="8" spans="1:7">
      <c r="B8" s="6"/>
      <c r="C8" t="s">
        <v>37</v>
      </c>
      <c r="D8" t="s">
        <v>39</v>
      </c>
      <c r="E8" t="s">
        <v>40</v>
      </c>
      <c r="F8" s="14"/>
      <c r="G8" s="15">
        <v>466500</v>
      </c>
    </row>
    <row r="9" spans="1:7">
      <c r="B9" s="6"/>
      <c r="F9" s="14"/>
      <c r="G9" s="15"/>
    </row>
    <row r="10" spans="1:7">
      <c r="B10" s="4" t="s">
        <v>21</v>
      </c>
      <c r="C10" s="5" t="s">
        <v>24</v>
      </c>
      <c r="D10" s="5" t="s">
        <v>26</v>
      </c>
      <c r="E10" s="5" t="s">
        <v>28</v>
      </c>
      <c r="F10" s="16">
        <v>0</v>
      </c>
      <c r="G10" s="17"/>
    </row>
    <row r="11" spans="1:7">
      <c r="B11" s="6"/>
      <c r="C11" t="s">
        <v>24</v>
      </c>
      <c r="D11" t="s">
        <v>25</v>
      </c>
      <c r="E11" t="s">
        <v>32</v>
      </c>
      <c r="F11" s="18">
        <v>0</v>
      </c>
      <c r="G11" s="19"/>
    </row>
    <row r="12" spans="1:7">
      <c r="B12" s="6"/>
      <c r="C12" t="s">
        <v>27</v>
      </c>
      <c r="D12" t="s">
        <v>25</v>
      </c>
      <c r="E12" t="s">
        <v>35</v>
      </c>
      <c r="F12" s="18">
        <v>92390</v>
      </c>
      <c r="G12" s="19"/>
    </row>
    <row r="13" spans="1:7">
      <c r="B13" s="7"/>
      <c r="C13" s="8"/>
      <c r="D13" s="8"/>
      <c r="E13" s="8"/>
      <c r="F13" s="20"/>
      <c r="G13" s="21"/>
    </row>
    <row r="14" spans="1:7">
      <c r="B14" s="7" t="s">
        <v>30</v>
      </c>
      <c r="C14" s="8"/>
      <c r="D14" s="8"/>
      <c r="E14" s="8"/>
      <c r="F14" s="22">
        <f>SUM(F10:F13)</f>
        <v>92390</v>
      </c>
      <c r="G14" s="21">
        <f>SUM(G7:G9)</f>
        <v>960500</v>
      </c>
    </row>
    <row r="15" spans="1:7">
      <c r="B15" t="s">
        <v>22</v>
      </c>
      <c r="F15" s="23">
        <f>G14-F14</f>
        <v>868110</v>
      </c>
    </row>
    <row r="19" spans="2:8" ht="18.5">
      <c r="B19" s="9" t="s">
        <v>31</v>
      </c>
    </row>
    <row r="20" spans="2:8">
      <c r="B20" t="s">
        <v>45</v>
      </c>
      <c r="C20" t="s">
        <v>41</v>
      </c>
      <c r="D20" t="s">
        <v>42</v>
      </c>
      <c r="E20" t="s">
        <v>4</v>
      </c>
      <c r="F20" s="26" t="s">
        <v>44</v>
      </c>
      <c r="G20" s="26" t="s">
        <v>43</v>
      </c>
      <c r="H20" t="s">
        <v>56</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32"/>
  <sheetViews>
    <sheetView tabSelected="1" topLeftCell="A118" workbookViewId="0">
      <selection activeCell="D8" sqref="D8"/>
    </sheetView>
  </sheetViews>
  <sheetFormatPr defaultRowHeight="14.5"/>
  <cols>
    <col min="1" max="1" width="11.1796875" bestFit="1" customWidth="1"/>
    <col min="2" max="2" width="11.26953125" bestFit="1" customWidth="1"/>
    <col min="3" max="3" width="23.08984375" bestFit="1" customWidth="1"/>
    <col min="4" max="4" width="10.54296875" bestFit="1" customWidth="1"/>
    <col min="5" max="5" width="11.36328125" bestFit="1" customWidth="1"/>
    <col min="6" max="6" width="30.6328125" customWidth="1"/>
    <col min="7" max="7" width="6.54296875" bestFit="1" customWidth="1"/>
    <col min="8" max="9" width="100.6328125" customWidth="1"/>
  </cols>
  <sheetData>
    <row r="1" spans="1:9">
      <c r="A1" s="29" t="s">
        <v>558</v>
      </c>
      <c r="B1" s="29" t="s">
        <v>559</v>
      </c>
      <c r="C1" s="29" t="s">
        <v>560</v>
      </c>
      <c r="D1" s="29" t="s">
        <v>561</v>
      </c>
      <c r="E1" s="29" t="s">
        <v>562</v>
      </c>
      <c r="F1" s="29" t="s">
        <v>563</v>
      </c>
      <c r="G1" s="29" t="s">
        <v>564</v>
      </c>
      <c r="H1" s="29" t="s">
        <v>565</v>
      </c>
      <c r="I1" t="s">
        <v>566</v>
      </c>
    </row>
    <row r="2" spans="1:9">
      <c r="A2" t="s">
        <v>556</v>
      </c>
      <c r="B2" t="s">
        <v>555</v>
      </c>
      <c r="C2" t="s">
        <v>444</v>
      </c>
      <c r="D2" t="s">
        <v>318</v>
      </c>
      <c r="E2" t="s">
        <v>567</v>
      </c>
      <c r="F2" t="s">
        <v>453</v>
      </c>
      <c r="G2">
        <v>68</v>
      </c>
      <c r="H2" t="s">
        <v>454</v>
      </c>
      <c r="I2" s="30" t="s">
        <v>321</v>
      </c>
    </row>
    <row r="3" spans="1:9">
      <c r="A3" t="s">
        <v>556</v>
      </c>
      <c r="B3" t="s">
        <v>555</v>
      </c>
      <c r="C3" t="s">
        <v>444</v>
      </c>
      <c r="D3" t="s">
        <v>318</v>
      </c>
      <c r="E3" t="s">
        <v>567</v>
      </c>
      <c r="F3" t="s">
        <v>448</v>
      </c>
      <c r="G3">
        <v>32</v>
      </c>
      <c r="H3" t="s">
        <v>449</v>
      </c>
      <c r="I3" s="30" t="s">
        <v>321</v>
      </c>
    </row>
    <row r="4" spans="1:9">
      <c r="A4" t="s">
        <v>556</v>
      </c>
      <c r="B4" t="s">
        <v>555</v>
      </c>
      <c r="C4" t="s">
        <v>444</v>
      </c>
      <c r="D4" t="s">
        <v>318</v>
      </c>
      <c r="E4" t="s">
        <v>567</v>
      </c>
      <c r="F4" t="s">
        <v>446</v>
      </c>
      <c r="G4">
        <v>27</v>
      </c>
      <c r="H4" t="s">
        <v>447</v>
      </c>
      <c r="I4" s="30" t="s">
        <v>321</v>
      </c>
    </row>
    <row r="5" spans="1:9">
      <c r="A5" t="s">
        <v>556</v>
      </c>
      <c r="B5" t="s">
        <v>555</v>
      </c>
      <c r="C5" t="s">
        <v>444</v>
      </c>
      <c r="D5" t="s">
        <v>318</v>
      </c>
      <c r="E5" t="s">
        <v>319</v>
      </c>
      <c r="F5" t="s">
        <v>322</v>
      </c>
      <c r="G5">
        <v>17</v>
      </c>
      <c r="H5" t="s">
        <v>445</v>
      </c>
      <c r="I5" s="30" t="s">
        <v>321</v>
      </c>
    </row>
    <row r="6" spans="1:9" ht="58">
      <c r="A6" t="s">
        <v>556</v>
      </c>
      <c r="B6" t="s">
        <v>555</v>
      </c>
      <c r="C6" t="s">
        <v>444</v>
      </c>
      <c r="D6" t="s">
        <v>318</v>
      </c>
      <c r="E6" t="s">
        <v>319</v>
      </c>
      <c r="F6" t="s">
        <v>450</v>
      </c>
      <c r="G6">
        <v>48</v>
      </c>
      <c r="H6" t="s">
        <v>451</v>
      </c>
      <c r="I6" s="31" t="s">
        <v>452</v>
      </c>
    </row>
    <row r="7" spans="1:9">
      <c r="A7" t="s">
        <v>556</v>
      </c>
      <c r="B7" t="s">
        <v>555</v>
      </c>
      <c r="C7" t="s">
        <v>444</v>
      </c>
      <c r="D7" t="s">
        <v>318</v>
      </c>
      <c r="E7" t="s">
        <v>567</v>
      </c>
      <c r="F7" t="s">
        <v>455</v>
      </c>
      <c r="G7">
        <v>72</v>
      </c>
      <c r="H7" t="s">
        <v>456</v>
      </c>
      <c r="I7" s="30" t="s">
        <v>321</v>
      </c>
    </row>
    <row r="8" spans="1:9">
      <c r="A8" t="s">
        <v>556</v>
      </c>
      <c r="B8" t="s">
        <v>555</v>
      </c>
      <c r="C8" t="s">
        <v>444</v>
      </c>
      <c r="D8" t="s">
        <v>318</v>
      </c>
      <c r="E8" t="s">
        <v>329</v>
      </c>
      <c r="F8" t="s">
        <v>331</v>
      </c>
      <c r="G8">
        <v>23</v>
      </c>
      <c r="H8" t="s">
        <v>332</v>
      </c>
      <c r="I8" s="30" t="s">
        <v>321</v>
      </c>
    </row>
    <row r="9" spans="1:9">
      <c r="A9" t="s">
        <v>556</v>
      </c>
      <c r="B9" t="s">
        <v>555</v>
      </c>
      <c r="C9" t="s">
        <v>439</v>
      </c>
      <c r="D9" t="s">
        <v>318</v>
      </c>
      <c r="E9" t="s">
        <v>329</v>
      </c>
      <c r="F9" t="s">
        <v>440</v>
      </c>
      <c r="G9">
        <v>31</v>
      </c>
      <c r="H9" t="s">
        <v>441</v>
      </c>
      <c r="I9" s="30" t="s">
        <v>321</v>
      </c>
    </row>
    <row r="10" spans="1:9">
      <c r="A10" t="s">
        <v>556</v>
      </c>
      <c r="B10" t="s">
        <v>555</v>
      </c>
      <c r="C10" t="s">
        <v>439</v>
      </c>
      <c r="D10" t="s">
        <v>318</v>
      </c>
      <c r="E10" t="s">
        <v>329</v>
      </c>
      <c r="F10" t="s">
        <v>442</v>
      </c>
      <c r="G10">
        <v>81</v>
      </c>
      <c r="H10" t="s">
        <v>443</v>
      </c>
      <c r="I10" s="30" t="s">
        <v>321</v>
      </c>
    </row>
    <row r="11" spans="1:9">
      <c r="A11" t="s">
        <v>556</v>
      </c>
      <c r="B11" t="s">
        <v>555</v>
      </c>
      <c r="C11" t="s">
        <v>439</v>
      </c>
      <c r="D11" t="s">
        <v>318</v>
      </c>
      <c r="E11" t="s">
        <v>319</v>
      </c>
      <c r="F11" t="s">
        <v>322</v>
      </c>
      <c r="G11">
        <v>23</v>
      </c>
      <c r="H11" t="s">
        <v>406</v>
      </c>
      <c r="I11" s="30" t="s">
        <v>321</v>
      </c>
    </row>
    <row r="12" spans="1:9" ht="43.5">
      <c r="A12" t="s">
        <v>556</v>
      </c>
      <c r="B12" t="s">
        <v>554</v>
      </c>
      <c r="C12" t="s">
        <v>515</v>
      </c>
      <c r="D12" t="s">
        <v>318</v>
      </c>
      <c r="E12" t="s">
        <v>329</v>
      </c>
      <c r="F12" t="s">
        <v>545</v>
      </c>
      <c r="G12">
        <v>415</v>
      </c>
      <c r="H12" t="s">
        <v>546</v>
      </c>
      <c r="I12" s="31" t="s">
        <v>547</v>
      </c>
    </row>
    <row r="13" spans="1:9">
      <c r="A13" t="s">
        <v>556</v>
      </c>
      <c r="B13" t="s">
        <v>554</v>
      </c>
      <c r="C13" t="s">
        <v>515</v>
      </c>
      <c r="D13" t="s">
        <v>318</v>
      </c>
      <c r="E13" t="s">
        <v>329</v>
      </c>
      <c r="F13" t="s">
        <v>522</v>
      </c>
      <c r="G13">
        <v>131</v>
      </c>
      <c r="H13" t="s">
        <v>523</v>
      </c>
      <c r="I13" s="30" t="s">
        <v>321</v>
      </c>
    </row>
    <row r="14" spans="1:9">
      <c r="A14" t="s">
        <v>556</v>
      </c>
      <c r="B14" t="s">
        <v>554</v>
      </c>
      <c r="C14" t="s">
        <v>515</v>
      </c>
      <c r="D14" t="s">
        <v>318</v>
      </c>
      <c r="E14" t="s">
        <v>329</v>
      </c>
      <c r="F14" t="s">
        <v>520</v>
      </c>
      <c r="G14">
        <v>110</v>
      </c>
      <c r="H14" t="s">
        <v>521</v>
      </c>
      <c r="I14" s="30" t="s">
        <v>321</v>
      </c>
    </row>
    <row r="15" spans="1:9">
      <c r="A15" t="s">
        <v>556</v>
      </c>
      <c r="B15" t="s">
        <v>554</v>
      </c>
      <c r="C15" t="s">
        <v>515</v>
      </c>
      <c r="D15" t="s">
        <v>318</v>
      </c>
      <c r="E15" t="s">
        <v>329</v>
      </c>
      <c r="F15" t="s">
        <v>526</v>
      </c>
      <c r="G15">
        <v>156</v>
      </c>
      <c r="H15" t="s">
        <v>527</v>
      </c>
      <c r="I15" s="30" t="s">
        <v>321</v>
      </c>
    </row>
    <row r="16" spans="1:9">
      <c r="A16" t="s">
        <v>556</v>
      </c>
      <c r="B16" t="s">
        <v>554</v>
      </c>
      <c r="C16" t="s">
        <v>515</v>
      </c>
      <c r="D16" t="s">
        <v>318</v>
      </c>
      <c r="E16" t="s">
        <v>329</v>
      </c>
      <c r="F16" t="s">
        <v>524</v>
      </c>
      <c r="G16">
        <v>141</v>
      </c>
      <c r="H16" t="s">
        <v>525</v>
      </c>
      <c r="I16" s="30" t="s">
        <v>321</v>
      </c>
    </row>
    <row r="17" spans="1:9">
      <c r="A17" t="s">
        <v>556</v>
      </c>
      <c r="B17" t="s">
        <v>554</v>
      </c>
      <c r="C17" t="s">
        <v>515</v>
      </c>
      <c r="D17" t="s">
        <v>318</v>
      </c>
      <c r="E17" t="s">
        <v>319</v>
      </c>
      <c r="F17" t="s">
        <v>548</v>
      </c>
      <c r="G17">
        <v>439</v>
      </c>
      <c r="H17" t="s">
        <v>549</v>
      </c>
      <c r="I17" s="30" t="s">
        <v>321</v>
      </c>
    </row>
    <row r="18" spans="1:9">
      <c r="A18" t="s">
        <v>556</v>
      </c>
      <c r="B18" t="s">
        <v>554</v>
      </c>
      <c r="C18" t="s">
        <v>515</v>
      </c>
      <c r="D18" t="s">
        <v>318</v>
      </c>
      <c r="E18" t="s">
        <v>319</v>
      </c>
      <c r="F18" t="s">
        <v>540</v>
      </c>
      <c r="G18">
        <v>316</v>
      </c>
      <c r="H18" t="s">
        <v>541</v>
      </c>
      <c r="I18" s="30" t="s">
        <v>542</v>
      </c>
    </row>
    <row r="19" spans="1:9">
      <c r="A19" t="s">
        <v>556</v>
      </c>
      <c r="B19" t="s">
        <v>554</v>
      </c>
      <c r="C19" t="s">
        <v>515</v>
      </c>
      <c r="D19" t="s">
        <v>318</v>
      </c>
      <c r="E19" t="s">
        <v>319</v>
      </c>
      <c r="F19" t="s">
        <v>536</v>
      </c>
      <c r="G19">
        <v>251</v>
      </c>
      <c r="H19" t="s">
        <v>537</v>
      </c>
      <c r="I19" s="30" t="s">
        <v>321</v>
      </c>
    </row>
    <row r="20" spans="1:9">
      <c r="A20" t="s">
        <v>556</v>
      </c>
      <c r="B20" t="s">
        <v>554</v>
      </c>
      <c r="C20" t="s">
        <v>515</v>
      </c>
      <c r="D20" t="s">
        <v>318</v>
      </c>
      <c r="E20" t="s">
        <v>329</v>
      </c>
      <c r="F20" t="s">
        <v>333</v>
      </c>
      <c r="G20">
        <v>199</v>
      </c>
      <c r="H20" t="s">
        <v>531</v>
      </c>
      <c r="I20" s="30" t="s">
        <v>321</v>
      </c>
    </row>
    <row r="21" spans="1:9" ht="87">
      <c r="A21" t="s">
        <v>556</v>
      </c>
      <c r="B21" t="s">
        <v>554</v>
      </c>
      <c r="C21" t="s">
        <v>515</v>
      </c>
      <c r="D21" t="s">
        <v>318</v>
      </c>
      <c r="E21" t="s">
        <v>329</v>
      </c>
      <c r="F21" t="s">
        <v>528</v>
      </c>
      <c r="G21">
        <v>178</v>
      </c>
      <c r="H21" t="s">
        <v>529</v>
      </c>
      <c r="I21" s="31" t="s">
        <v>530</v>
      </c>
    </row>
    <row r="22" spans="1:9">
      <c r="A22" t="s">
        <v>556</v>
      </c>
      <c r="B22" t="s">
        <v>554</v>
      </c>
      <c r="C22" t="s">
        <v>515</v>
      </c>
      <c r="D22" t="s">
        <v>318</v>
      </c>
      <c r="E22" t="s">
        <v>319</v>
      </c>
      <c r="F22" t="s">
        <v>517</v>
      </c>
      <c r="G22">
        <v>87</v>
      </c>
      <c r="H22" t="s">
        <v>518</v>
      </c>
      <c r="I22" s="30" t="s">
        <v>519</v>
      </c>
    </row>
    <row r="23" spans="1:9">
      <c r="A23" t="s">
        <v>556</v>
      </c>
      <c r="B23" t="s">
        <v>554</v>
      </c>
      <c r="C23" t="s">
        <v>515</v>
      </c>
      <c r="D23" t="s">
        <v>318</v>
      </c>
      <c r="E23" t="s">
        <v>319</v>
      </c>
      <c r="F23" t="s">
        <v>538</v>
      </c>
      <c r="G23">
        <v>260</v>
      </c>
      <c r="H23" t="s">
        <v>539</v>
      </c>
      <c r="I23" s="30" t="s">
        <v>321</v>
      </c>
    </row>
    <row r="24" spans="1:9">
      <c r="A24" t="s">
        <v>556</v>
      </c>
      <c r="B24" t="s">
        <v>554</v>
      </c>
      <c r="C24" t="s">
        <v>515</v>
      </c>
      <c r="D24" t="s">
        <v>318</v>
      </c>
      <c r="E24" t="s">
        <v>319</v>
      </c>
      <c r="F24" t="s">
        <v>543</v>
      </c>
      <c r="G24">
        <v>335</v>
      </c>
      <c r="H24" t="s">
        <v>544</v>
      </c>
      <c r="I24" s="30" t="s">
        <v>321</v>
      </c>
    </row>
    <row r="25" spans="1:9">
      <c r="A25" t="s">
        <v>556</v>
      </c>
      <c r="B25" t="s">
        <v>554</v>
      </c>
      <c r="C25" t="s">
        <v>515</v>
      </c>
      <c r="D25" t="s">
        <v>318</v>
      </c>
      <c r="E25" t="s">
        <v>319</v>
      </c>
      <c r="F25" t="s">
        <v>534</v>
      </c>
      <c r="G25">
        <v>227</v>
      </c>
      <c r="H25" t="s">
        <v>535</v>
      </c>
      <c r="I25" s="30" t="s">
        <v>321</v>
      </c>
    </row>
    <row r="26" spans="1:9">
      <c r="A26" t="s">
        <v>556</v>
      </c>
      <c r="B26" t="s">
        <v>554</v>
      </c>
      <c r="C26" t="s">
        <v>515</v>
      </c>
      <c r="D26" t="s">
        <v>318</v>
      </c>
      <c r="E26" t="s">
        <v>319</v>
      </c>
      <c r="F26" t="s">
        <v>532</v>
      </c>
      <c r="G26">
        <v>209</v>
      </c>
      <c r="H26" t="s">
        <v>533</v>
      </c>
      <c r="I26" s="30" t="s">
        <v>321</v>
      </c>
    </row>
    <row r="27" spans="1:9">
      <c r="A27" t="s">
        <v>556</v>
      </c>
      <c r="B27" t="s">
        <v>554</v>
      </c>
      <c r="C27" t="s">
        <v>515</v>
      </c>
      <c r="D27" t="s">
        <v>318</v>
      </c>
      <c r="E27" t="s">
        <v>319</v>
      </c>
      <c r="F27" t="s">
        <v>514</v>
      </c>
      <c r="G27">
        <v>50</v>
      </c>
      <c r="H27" t="s">
        <v>516</v>
      </c>
      <c r="I27" s="30" t="s">
        <v>321</v>
      </c>
    </row>
    <row r="28" spans="1:9">
      <c r="A28" t="s">
        <v>556</v>
      </c>
      <c r="B28" t="s">
        <v>555</v>
      </c>
      <c r="C28" t="s">
        <v>323</v>
      </c>
      <c r="D28" t="s">
        <v>326</v>
      </c>
      <c r="E28" t="s">
        <v>319</v>
      </c>
      <c r="F28" t="s">
        <v>325</v>
      </c>
      <c r="G28">
        <v>38</v>
      </c>
      <c r="H28" t="s">
        <v>327</v>
      </c>
      <c r="I28" s="30" t="s">
        <v>321</v>
      </c>
    </row>
    <row r="29" spans="1:9">
      <c r="A29" t="s">
        <v>556</v>
      </c>
      <c r="B29" t="s">
        <v>555</v>
      </c>
      <c r="C29" t="s">
        <v>323</v>
      </c>
      <c r="D29" t="s">
        <v>318</v>
      </c>
      <c r="E29" t="s">
        <v>329</v>
      </c>
      <c r="F29" t="s">
        <v>328</v>
      </c>
      <c r="G29">
        <v>42</v>
      </c>
      <c r="H29" t="s">
        <v>330</v>
      </c>
      <c r="I29" s="30" t="s">
        <v>321</v>
      </c>
    </row>
    <row r="30" spans="1:9">
      <c r="A30" t="s">
        <v>556</v>
      </c>
      <c r="B30" t="s">
        <v>555</v>
      </c>
      <c r="C30" t="s">
        <v>323</v>
      </c>
      <c r="D30" t="s">
        <v>318</v>
      </c>
      <c r="E30" t="s">
        <v>319</v>
      </c>
      <c r="F30" t="s">
        <v>322</v>
      </c>
      <c r="G30">
        <v>20</v>
      </c>
      <c r="H30" t="s">
        <v>324</v>
      </c>
      <c r="I30" s="30" t="s">
        <v>321</v>
      </c>
    </row>
    <row r="31" spans="1:9">
      <c r="A31" t="s">
        <v>556</v>
      </c>
      <c r="B31" t="s">
        <v>555</v>
      </c>
      <c r="C31" t="s">
        <v>323</v>
      </c>
      <c r="D31" t="s">
        <v>318</v>
      </c>
      <c r="E31" t="s">
        <v>567</v>
      </c>
      <c r="F31" t="s">
        <v>335</v>
      </c>
      <c r="G31">
        <v>89</v>
      </c>
      <c r="H31" t="s">
        <v>336</v>
      </c>
      <c r="I31" s="30" t="s">
        <v>321</v>
      </c>
    </row>
    <row r="32" spans="1:9">
      <c r="A32" t="s">
        <v>556</v>
      </c>
      <c r="B32" t="s">
        <v>555</v>
      </c>
      <c r="C32" t="s">
        <v>323</v>
      </c>
      <c r="D32" t="s">
        <v>318</v>
      </c>
      <c r="E32" t="s">
        <v>329</v>
      </c>
      <c r="F32" t="s">
        <v>333</v>
      </c>
      <c r="G32">
        <v>80</v>
      </c>
      <c r="H32" t="s">
        <v>334</v>
      </c>
      <c r="I32" s="30" t="s">
        <v>321</v>
      </c>
    </row>
    <row r="33" spans="1:9">
      <c r="A33" t="s">
        <v>556</v>
      </c>
      <c r="B33" t="s">
        <v>555</v>
      </c>
      <c r="C33" t="s">
        <v>323</v>
      </c>
      <c r="D33" t="s">
        <v>318</v>
      </c>
      <c r="E33" t="s">
        <v>329</v>
      </c>
      <c r="F33" t="s">
        <v>331</v>
      </c>
      <c r="G33">
        <v>61</v>
      </c>
      <c r="H33" t="s">
        <v>332</v>
      </c>
      <c r="I33" s="30" t="s">
        <v>321</v>
      </c>
    </row>
    <row r="34" spans="1:9">
      <c r="A34" t="s">
        <v>556</v>
      </c>
      <c r="B34" t="s">
        <v>555</v>
      </c>
      <c r="C34" t="s">
        <v>337</v>
      </c>
      <c r="D34" t="s">
        <v>326</v>
      </c>
      <c r="E34" t="s">
        <v>319</v>
      </c>
      <c r="F34" t="s">
        <v>325</v>
      </c>
      <c r="G34">
        <v>16</v>
      </c>
      <c r="H34" t="s">
        <v>327</v>
      </c>
      <c r="I34" s="30" t="s">
        <v>321</v>
      </c>
    </row>
    <row r="35" spans="1:9">
      <c r="A35" t="s">
        <v>556</v>
      </c>
      <c r="B35" t="s">
        <v>555</v>
      </c>
      <c r="C35" t="s">
        <v>337</v>
      </c>
      <c r="D35" t="s">
        <v>318</v>
      </c>
      <c r="E35" t="s">
        <v>329</v>
      </c>
      <c r="F35" t="s">
        <v>339</v>
      </c>
      <c r="G35">
        <v>39</v>
      </c>
      <c r="H35" t="s">
        <v>340</v>
      </c>
      <c r="I35" s="30" t="s">
        <v>321</v>
      </c>
    </row>
    <row r="36" spans="1:9">
      <c r="A36" t="s">
        <v>556</v>
      </c>
      <c r="B36" t="s">
        <v>555</v>
      </c>
      <c r="C36" t="s">
        <v>337</v>
      </c>
      <c r="D36" t="s">
        <v>318</v>
      </c>
      <c r="E36" t="s">
        <v>329</v>
      </c>
      <c r="F36" t="s">
        <v>343</v>
      </c>
      <c r="G36">
        <v>49</v>
      </c>
      <c r="H36" t="s">
        <v>344</v>
      </c>
      <c r="I36" s="30" t="s">
        <v>321</v>
      </c>
    </row>
    <row r="37" spans="1:9">
      <c r="A37" t="s">
        <v>556</v>
      </c>
      <c r="B37" t="s">
        <v>555</v>
      </c>
      <c r="C37" t="s">
        <v>337</v>
      </c>
      <c r="D37" t="s">
        <v>318</v>
      </c>
      <c r="E37" t="s">
        <v>319</v>
      </c>
      <c r="F37" t="s">
        <v>322</v>
      </c>
      <c r="G37">
        <v>23</v>
      </c>
      <c r="H37" t="s">
        <v>338</v>
      </c>
      <c r="I37" s="30" t="s">
        <v>321</v>
      </c>
    </row>
    <row r="38" spans="1:9">
      <c r="A38" t="s">
        <v>556</v>
      </c>
      <c r="B38" t="s">
        <v>555</v>
      </c>
      <c r="C38" t="s">
        <v>337</v>
      </c>
      <c r="D38" t="s">
        <v>318</v>
      </c>
      <c r="E38" t="s">
        <v>329</v>
      </c>
      <c r="F38" t="s">
        <v>341</v>
      </c>
      <c r="G38">
        <v>44</v>
      </c>
      <c r="H38" t="s">
        <v>342</v>
      </c>
      <c r="I38" s="30" t="s">
        <v>321</v>
      </c>
    </row>
    <row r="39" spans="1:9">
      <c r="A39" t="s">
        <v>556</v>
      </c>
      <c r="B39" t="s">
        <v>555</v>
      </c>
      <c r="C39" t="s">
        <v>379</v>
      </c>
      <c r="D39" t="s">
        <v>318</v>
      </c>
      <c r="E39" t="s">
        <v>319</v>
      </c>
      <c r="F39" t="s">
        <v>380</v>
      </c>
      <c r="G39">
        <v>17</v>
      </c>
      <c r="H39" t="s">
        <v>381</v>
      </c>
      <c r="I39" s="30" t="s">
        <v>321</v>
      </c>
    </row>
    <row r="40" spans="1:9">
      <c r="A40" t="s">
        <v>556</v>
      </c>
      <c r="B40" t="s">
        <v>555</v>
      </c>
      <c r="C40" t="s">
        <v>379</v>
      </c>
      <c r="D40" t="s">
        <v>326</v>
      </c>
      <c r="E40" t="s">
        <v>319</v>
      </c>
      <c r="F40" t="s">
        <v>325</v>
      </c>
      <c r="G40">
        <v>11</v>
      </c>
      <c r="H40" t="s">
        <v>327</v>
      </c>
      <c r="I40" s="30" t="s">
        <v>321</v>
      </c>
    </row>
    <row r="41" spans="1:9">
      <c r="A41" t="s">
        <v>556</v>
      </c>
      <c r="B41" t="s">
        <v>555</v>
      </c>
      <c r="C41" t="s">
        <v>379</v>
      </c>
      <c r="D41" t="s">
        <v>318</v>
      </c>
      <c r="E41" t="s">
        <v>329</v>
      </c>
      <c r="F41" t="s">
        <v>339</v>
      </c>
      <c r="G41">
        <v>22</v>
      </c>
      <c r="H41" t="s">
        <v>340</v>
      </c>
      <c r="I41" s="30" t="s">
        <v>321</v>
      </c>
    </row>
    <row r="42" spans="1:9">
      <c r="A42" t="s">
        <v>556</v>
      </c>
      <c r="B42" t="s">
        <v>555</v>
      </c>
      <c r="C42" t="s">
        <v>379</v>
      </c>
      <c r="D42" t="s">
        <v>318</v>
      </c>
      <c r="E42" t="s">
        <v>329</v>
      </c>
      <c r="F42" t="s">
        <v>341</v>
      </c>
      <c r="G42">
        <v>27</v>
      </c>
      <c r="H42" t="s">
        <v>342</v>
      </c>
      <c r="I42" s="30" t="s">
        <v>321</v>
      </c>
    </row>
    <row r="43" spans="1:9">
      <c r="A43" t="s">
        <v>556</v>
      </c>
      <c r="B43" t="s">
        <v>555</v>
      </c>
      <c r="C43" t="s">
        <v>379</v>
      </c>
      <c r="D43" t="s">
        <v>318</v>
      </c>
      <c r="E43" t="s">
        <v>329</v>
      </c>
      <c r="F43" t="s">
        <v>384</v>
      </c>
      <c r="G43">
        <v>44</v>
      </c>
      <c r="H43" t="s">
        <v>385</v>
      </c>
      <c r="I43" s="30" t="s">
        <v>321</v>
      </c>
    </row>
    <row r="44" spans="1:9">
      <c r="A44" t="s">
        <v>556</v>
      </c>
      <c r="B44" t="s">
        <v>555</v>
      </c>
      <c r="C44" t="s">
        <v>379</v>
      </c>
      <c r="D44" t="s">
        <v>318</v>
      </c>
      <c r="E44" t="s">
        <v>329</v>
      </c>
      <c r="F44" t="s">
        <v>382</v>
      </c>
      <c r="G44">
        <v>32</v>
      </c>
      <c r="H44" t="s">
        <v>383</v>
      </c>
      <c r="I44" s="30" t="s">
        <v>321</v>
      </c>
    </row>
    <row r="45" spans="1:9">
      <c r="A45" t="s">
        <v>556</v>
      </c>
      <c r="B45" t="s">
        <v>555</v>
      </c>
      <c r="C45" t="s">
        <v>379</v>
      </c>
      <c r="D45" t="s">
        <v>318</v>
      </c>
      <c r="E45" t="s">
        <v>329</v>
      </c>
      <c r="F45" t="s">
        <v>331</v>
      </c>
      <c r="G45">
        <v>56</v>
      </c>
      <c r="H45" t="s">
        <v>332</v>
      </c>
      <c r="I45" s="30" t="s">
        <v>321</v>
      </c>
    </row>
    <row r="46" spans="1:9">
      <c r="A46" t="s">
        <v>556</v>
      </c>
      <c r="B46" t="s">
        <v>555</v>
      </c>
      <c r="C46" t="s">
        <v>405</v>
      </c>
      <c r="D46" t="s">
        <v>318</v>
      </c>
      <c r="E46" t="s">
        <v>319</v>
      </c>
      <c r="F46" t="s">
        <v>322</v>
      </c>
      <c r="G46">
        <v>12</v>
      </c>
      <c r="H46" t="s">
        <v>406</v>
      </c>
      <c r="I46" s="30" t="s">
        <v>321</v>
      </c>
    </row>
    <row r="47" spans="1:9">
      <c r="A47" t="s">
        <v>556</v>
      </c>
      <c r="B47" t="s">
        <v>555</v>
      </c>
      <c r="C47" t="s">
        <v>405</v>
      </c>
      <c r="D47" t="s">
        <v>318</v>
      </c>
      <c r="E47" t="s">
        <v>329</v>
      </c>
      <c r="F47" t="s">
        <v>409</v>
      </c>
      <c r="G47">
        <v>27</v>
      </c>
      <c r="H47" t="s">
        <v>410</v>
      </c>
      <c r="I47" s="30" t="s">
        <v>321</v>
      </c>
    </row>
    <row r="48" spans="1:9">
      <c r="A48" t="s">
        <v>556</v>
      </c>
      <c r="B48" t="s">
        <v>555</v>
      </c>
      <c r="C48" t="s">
        <v>405</v>
      </c>
      <c r="D48" t="s">
        <v>318</v>
      </c>
      <c r="E48" t="s">
        <v>329</v>
      </c>
      <c r="F48" t="s">
        <v>407</v>
      </c>
      <c r="G48">
        <v>18</v>
      </c>
      <c r="H48" t="s">
        <v>408</v>
      </c>
      <c r="I48" s="30" t="s">
        <v>321</v>
      </c>
    </row>
    <row r="49" spans="1:9" ht="43.5">
      <c r="A49" t="s">
        <v>556</v>
      </c>
      <c r="B49" t="s">
        <v>555</v>
      </c>
      <c r="C49" t="s">
        <v>405</v>
      </c>
      <c r="D49" t="s">
        <v>318</v>
      </c>
      <c r="E49" t="s">
        <v>329</v>
      </c>
      <c r="F49" t="s">
        <v>411</v>
      </c>
      <c r="G49">
        <v>59</v>
      </c>
      <c r="H49" t="s">
        <v>412</v>
      </c>
      <c r="I49" s="31" t="s">
        <v>413</v>
      </c>
    </row>
    <row r="50" spans="1:9">
      <c r="A50" t="s">
        <v>556</v>
      </c>
      <c r="B50" t="s">
        <v>555</v>
      </c>
      <c r="C50" t="s">
        <v>405</v>
      </c>
      <c r="D50" t="s">
        <v>326</v>
      </c>
      <c r="E50" t="s">
        <v>329</v>
      </c>
      <c r="F50" t="s">
        <v>414</v>
      </c>
      <c r="G50">
        <v>93</v>
      </c>
      <c r="H50" t="s">
        <v>415</v>
      </c>
      <c r="I50" s="30" t="s">
        <v>321</v>
      </c>
    </row>
    <row r="51" spans="1:9">
      <c r="A51" t="s">
        <v>556</v>
      </c>
      <c r="B51" t="s">
        <v>554</v>
      </c>
      <c r="C51" t="s">
        <v>480</v>
      </c>
      <c r="D51" t="s">
        <v>318</v>
      </c>
      <c r="E51" t="s">
        <v>329</v>
      </c>
      <c r="F51" t="s">
        <v>482</v>
      </c>
      <c r="G51">
        <v>31</v>
      </c>
      <c r="H51" t="s">
        <v>483</v>
      </c>
      <c r="I51" s="30" t="s">
        <v>321</v>
      </c>
    </row>
    <row r="52" spans="1:9">
      <c r="A52" t="s">
        <v>556</v>
      </c>
      <c r="B52" t="s">
        <v>554</v>
      </c>
      <c r="C52" t="s">
        <v>480</v>
      </c>
      <c r="D52" t="s">
        <v>318</v>
      </c>
      <c r="E52" t="s">
        <v>329</v>
      </c>
      <c r="F52" t="s">
        <v>479</v>
      </c>
      <c r="G52">
        <v>14</v>
      </c>
      <c r="H52" t="s">
        <v>481</v>
      </c>
      <c r="I52" s="30" t="s">
        <v>321</v>
      </c>
    </row>
    <row r="53" spans="1:9">
      <c r="A53" t="s">
        <v>556</v>
      </c>
      <c r="B53" t="s">
        <v>554</v>
      </c>
      <c r="C53" t="s">
        <v>480</v>
      </c>
      <c r="D53" t="s">
        <v>318</v>
      </c>
      <c r="E53" t="s">
        <v>329</v>
      </c>
      <c r="F53" t="s">
        <v>484</v>
      </c>
      <c r="G53">
        <v>41</v>
      </c>
      <c r="H53" t="s">
        <v>557</v>
      </c>
      <c r="I53" s="30" t="s">
        <v>321</v>
      </c>
    </row>
    <row r="54" spans="1:9">
      <c r="A54" t="s">
        <v>556</v>
      </c>
      <c r="B54" t="s">
        <v>554</v>
      </c>
      <c r="C54" t="s">
        <v>480</v>
      </c>
      <c r="D54" t="s">
        <v>318</v>
      </c>
      <c r="E54" t="s">
        <v>329</v>
      </c>
      <c r="F54" t="s">
        <v>485</v>
      </c>
      <c r="G54">
        <v>52</v>
      </c>
      <c r="H54" t="s">
        <v>486</v>
      </c>
      <c r="I54" s="30" t="s">
        <v>321</v>
      </c>
    </row>
    <row r="55" spans="1:9">
      <c r="A55" t="s">
        <v>556</v>
      </c>
      <c r="B55" t="s">
        <v>554</v>
      </c>
      <c r="C55" t="s">
        <v>507</v>
      </c>
      <c r="D55" t="s">
        <v>318</v>
      </c>
      <c r="E55" t="s">
        <v>319</v>
      </c>
      <c r="F55" t="s">
        <v>475</v>
      </c>
      <c r="G55">
        <v>4</v>
      </c>
      <c r="H55" t="s">
        <v>508</v>
      </c>
      <c r="I55" s="30" t="s">
        <v>509</v>
      </c>
    </row>
    <row r="56" spans="1:9">
      <c r="A56" t="s">
        <v>556</v>
      </c>
      <c r="B56" t="s">
        <v>554</v>
      </c>
      <c r="C56" t="s">
        <v>317</v>
      </c>
      <c r="D56" t="s">
        <v>571</v>
      </c>
      <c r="E56" t="s">
        <v>319</v>
      </c>
      <c r="F56" t="s">
        <v>316</v>
      </c>
      <c r="G56">
        <v>6</v>
      </c>
      <c r="H56" t="s">
        <v>320</v>
      </c>
      <c r="I56" s="30" t="s">
        <v>321</v>
      </c>
    </row>
    <row r="57" spans="1:9">
      <c r="A57" t="s">
        <v>556</v>
      </c>
      <c r="B57" t="s">
        <v>554</v>
      </c>
      <c r="C57" t="s">
        <v>387</v>
      </c>
      <c r="D57" t="s">
        <v>571</v>
      </c>
      <c r="E57" t="s">
        <v>319</v>
      </c>
      <c r="F57" t="s">
        <v>399</v>
      </c>
      <c r="G57">
        <v>104</v>
      </c>
      <c r="H57" t="s">
        <v>400</v>
      </c>
      <c r="I57" s="30" t="s">
        <v>321</v>
      </c>
    </row>
    <row r="58" spans="1:9">
      <c r="A58" t="s">
        <v>556</v>
      </c>
      <c r="B58" t="s">
        <v>554</v>
      </c>
      <c r="C58" t="s">
        <v>387</v>
      </c>
      <c r="D58" t="s">
        <v>571</v>
      </c>
      <c r="E58" t="s">
        <v>319</v>
      </c>
      <c r="F58" t="s">
        <v>401</v>
      </c>
      <c r="G58">
        <v>123</v>
      </c>
      <c r="H58" t="s">
        <v>402</v>
      </c>
      <c r="I58" s="30" t="s">
        <v>321</v>
      </c>
    </row>
    <row r="59" spans="1:9">
      <c r="A59" t="s">
        <v>556</v>
      </c>
      <c r="B59" t="s">
        <v>554</v>
      </c>
      <c r="C59" t="s">
        <v>387</v>
      </c>
      <c r="D59" t="s">
        <v>571</v>
      </c>
      <c r="E59" t="s">
        <v>319</v>
      </c>
      <c r="F59" t="s">
        <v>403</v>
      </c>
      <c r="G59">
        <v>191</v>
      </c>
      <c r="H59" t="s">
        <v>404</v>
      </c>
      <c r="I59" s="30" t="s">
        <v>321</v>
      </c>
    </row>
    <row r="60" spans="1:9">
      <c r="A60" t="s">
        <v>556</v>
      </c>
      <c r="B60" t="s">
        <v>554</v>
      </c>
      <c r="C60" t="s">
        <v>387</v>
      </c>
      <c r="D60" t="s">
        <v>571</v>
      </c>
      <c r="E60" t="s">
        <v>319</v>
      </c>
      <c r="F60" t="s">
        <v>389</v>
      </c>
      <c r="G60">
        <v>19</v>
      </c>
      <c r="H60" t="s">
        <v>390</v>
      </c>
      <c r="I60" s="30" t="s">
        <v>321</v>
      </c>
    </row>
    <row r="61" spans="1:9">
      <c r="A61" t="s">
        <v>556</v>
      </c>
      <c r="B61" t="s">
        <v>554</v>
      </c>
      <c r="C61" t="s">
        <v>387</v>
      </c>
      <c r="D61" t="s">
        <v>571</v>
      </c>
      <c r="E61" t="s">
        <v>319</v>
      </c>
      <c r="F61" t="s">
        <v>393</v>
      </c>
      <c r="G61">
        <v>44</v>
      </c>
      <c r="H61" t="s">
        <v>394</v>
      </c>
      <c r="I61" s="30" t="s">
        <v>321</v>
      </c>
    </row>
    <row r="62" spans="1:9">
      <c r="A62" t="s">
        <v>556</v>
      </c>
      <c r="B62" t="s">
        <v>554</v>
      </c>
      <c r="C62" t="s">
        <v>387</v>
      </c>
      <c r="D62" t="s">
        <v>571</v>
      </c>
      <c r="E62" t="s">
        <v>319</v>
      </c>
      <c r="F62" t="s">
        <v>391</v>
      </c>
      <c r="G62">
        <v>27</v>
      </c>
      <c r="H62" t="s">
        <v>392</v>
      </c>
      <c r="I62" s="30" t="s">
        <v>321</v>
      </c>
    </row>
    <row r="63" spans="1:9">
      <c r="A63" t="s">
        <v>556</v>
      </c>
      <c r="B63" t="s">
        <v>554</v>
      </c>
      <c r="C63" t="s">
        <v>387</v>
      </c>
      <c r="D63" t="s">
        <v>571</v>
      </c>
      <c r="E63" t="s">
        <v>319</v>
      </c>
      <c r="F63" t="s">
        <v>386</v>
      </c>
      <c r="G63">
        <v>5</v>
      </c>
      <c r="H63" t="s">
        <v>388</v>
      </c>
      <c r="I63" s="30" t="s">
        <v>321</v>
      </c>
    </row>
    <row r="64" spans="1:9">
      <c r="A64" t="s">
        <v>556</v>
      </c>
      <c r="B64" t="s">
        <v>554</v>
      </c>
      <c r="C64" t="s">
        <v>387</v>
      </c>
      <c r="D64" t="s">
        <v>571</v>
      </c>
      <c r="E64" t="s">
        <v>319</v>
      </c>
      <c r="F64" t="s">
        <v>397</v>
      </c>
      <c r="G64">
        <v>82</v>
      </c>
      <c r="H64" t="s">
        <v>398</v>
      </c>
      <c r="I64" s="30" t="s">
        <v>321</v>
      </c>
    </row>
    <row r="65" spans="1:9">
      <c r="A65" t="s">
        <v>556</v>
      </c>
      <c r="B65" t="s">
        <v>554</v>
      </c>
      <c r="C65" t="s">
        <v>387</v>
      </c>
      <c r="D65" t="s">
        <v>571</v>
      </c>
      <c r="E65" t="s">
        <v>319</v>
      </c>
      <c r="F65" t="s">
        <v>395</v>
      </c>
      <c r="G65">
        <v>60</v>
      </c>
      <c r="H65" t="s">
        <v>396</v>
      </c>
      <c r="I65" s="30" t="s">
        <v>321</v>
      </c>
    </row>
    <row r="66" spans="1:9">
      <c r="A66" t="s">
        <v>556</v>
      </c>
      <c r="B66" t="s">
        <v>554</v>
      </c>
      <c r="C66" t="s">
        <v>457</v>
      </c>
      <c r="D66" t="s">
        <v>326</v>
      </c>
      <c r="E66" t="s">
        <v>319</v>
      </c>
      <c r="F66" t="s">
        <v>349</v>
      </c>
      <c r="G66">
        <v>20</v>
      </c>
      <c r="H66" t="s">
        <v>350</v>
      </c>
      <c r="I66" s="30" t="s">
        <v>351</v>
      </c>
    </row>
    <row r="67" spans="1:9">
      <c r="A67" t="s">
        <v>556</v>
      </c>
      <c r="B67" t="s">
        <v>554</v>
      </c>
      <c r="C67" t="s">
        <v>457</v>
      </c>
      <c r="D67" t="s">
        <v>326</v>
      </c>
      <c r="E67" t="s">
        <v>319</v>
      </c>
      <c r="F67" t="s">
        <v>345</v>
      </c>
      <c r="G67">
        <v>13</v>
      </c>
      <c r="H67" t="s">
        <v>347</v>
      </c>
      <c r="I67" s="30" t="s">
        <v>348</v>
      </c>
    </row>
    <row r="68" spans="1:9">
      <c r="A68" t="s">
        <v>556</v>
      </c>
      <c r="B68" t="s">
        <v>554</v>
      </c>
      <c r="C68" t="s">
        <v>457</v>
      </c>
      <c r="D68" t="s">
        <v>326</v>
      </c>
      <c r="E68" t="s">
        <v>319</v>
      </c>
      <c r="F68" t="s">
        <v>458</v>
      </c>
      <c r="G68">
        <v>37</v>
      </c>
      <c r="H68" t="s">
        <v>459</v>
      </c>
      <c r="I68" s="30" t="s">
        <v>460</v>
      </c>
    </row>
    <row r="69" spans="1:9">
      <c r="A69" t="s">
        <v>556</v>
      </c>
      <c r="B69" t="s">
        <v>554</v>
      </c>
      <c r="C69" t="s">
        <v>457</v>
      </c>
      <c r="D69" t="s">
        <v>326</v>
      </c>
      <c r="E69" t="s">
        <v>319</v>
      </c>
      <c r="F69" t="s">
        <v>355</v>
      </c>
      <c r="G69">
        <v>32</v>
      </c>
      <c r="H69" t="s">
        <v>356</v>
      </c>
      <c r="I69" s="30" t="s">
        <v>357</v>
      </c>
    </row>
    <row r="70" spans="1:9">
      <c r="A70" t="s">
        <v>556</v>
      </c>
      <c r="B70" t="s">
        <v>554</v>
      </c>
      <c r="C70" t="s">
        <v>457</v>
      </c>
      <c r="D70" t="s">
        <v>326</v>
      </c>
      <c r="E70" t="s">
        <v>319</v>
      </c>
      <c r="F70" t="s">
        <v>461</v>
      </c>
      <c r="G70">
        <v>58</v>
      </c>
      <c r="H70" t="s">
        <v>462</v>
      </c>
      <c r="I70" s="30" t="s">
        <v>463</v>
      </c>
    </row>
    <row r="71" spans="1:9">
      <c r="A71" t="s">
        <v>556</v>
      </c>
      <c r="B71" t="s">
        <v>554</v>
      </c>
      <c r="C71" t="s">
        <v>457</v>
      </c>
      <c r="D71" t="s">
        <v>326</v>
      </c>
      <c r="E71" t="s">
        <v>319</v>
      </c>
      <c r="F71" t="s">
        <v>464</v>
      </c>
      <c r="G71">
        <v>77</v>
      </c>
      <c r="H71" t="s">
        <v>465</v>
      </c>
      <c r="I71" s="30" t="s">
        <v>466</v>
      </c>
    </row>
    <row r="72" spans="1:9">
      <c r="A72" t="s">
        <v>556</v>
      </c>
      <c r="B72" t="s">
        <v>554</v>
      </c>
      <c r="C72" t="s">
        <v>457</v>
      </c>
      <c r="D72" t="s">
        <v>326</v>
      </c>
      <c r="E72" t="s">
        <v>319</v>
      </c>
      <c r="F72" t="s">
        <v>352</v>
      </c>
      <c r="G72">
        <v>27</v>
      </c>
      <c r="H72" t="s">
        <v>353</v>
      </c>
      <c r="I72" s="30" t="s">
        <v>354</v>
      </c>
    </row>
    <row r="73" spans="1:9">
      <c r="A73" t="s">
        <v>556</v>
      </c>
      <c r="B73" t="s">
        <v>554</v>
      </c>
      <c r="C73" t="s">
        <v>457</v>
      </c>
      <c r="D73" t="s">
        <v>326</v>
      </c>
      <c r="E73" t="s">
        <v>319</v>
      </c>
      <c r="F73" t="s">
        <v>467</v>
      </c>
      <c r="G73">
        <v>95</v>
      </c>
      <c r="H73" t="s">
        <v>468</v>
      </c>
      <c r="I73" s="30" t="s">
        <v>469</v>
      </c>
    </row>
    <row r="74" spans="1:9">
      <c r="A74" t="s">
        <v>556</v>
      </c>
      <c r="B74" t="s">
        <v>554</v>
      </c>
      <c r="C74" t="s">
        <v>500</v>
      </c>
      <c r="D74" t="s">
        <v>326</v>
      </c>
      <c r="E74" t="s">
        <v>319</v>
      </c>
      <c r="F74" t="s">
        <v>349</v>
      </c>
      <c r="G74">
        <v>29</v>
      </c>
      <c r="H74" t="s">
        <v>350</v>
      </c>
      <c r="I74" s="30" t="s">
        <v>351</v>
      </c>
    </row>
    <row r="75" spans="1:9">
      <c r="A75" t="s">
        <v>556</v>
      </c>
      <c r="B75" t="s">
        <v>554</v>
      </c>
      <c r="C75" t="s">
        <v>500</v>
      </c>
      <c r="D75" t="s">
        <v>326</v>
      </c>
      <c r="E75" t="s">
        <v>319</v>
      </c>
      <c r="F75" t="s">
        <v>345</v>
      </c>
      <c r="G75">
        <v>18</v>
      </c>
      <c r="H75" t="s">
        <v>347</v>
      </c>
      <c r="I75" s="30" t="s">
        <v>348</v>
      </c>
    </row>
    <row r="76" spans="1:9">
      <c r="A76" t="s">
        <v>556</v>
      </c>
      <c r="B76" t="s">
        <v>554</v>
      </c>
      <c r="C76" t="s">
        <v>500</v>
      </c>
      <c r="D76" t="s">
        <v>326</v>
      </c>
      <c r="E76" t="s">
        <v>319</v>
      </c>
      <c r="F76" t="s">
        <v>501</v>
      </c>
      <c r="G76">
        <v>52</v>
      </c>
      <c r="H76" t="s">
        <v>502</v>
      </c>
      <c r="I76" s="30" t="s">
        <v>503</v>
      </c>
    </row>
    <row r="77" spans="1:9">
      <c r="A77" t="s">
        <v>556</v>
      </c>
      <c r="B77" t="s">
        <v>554</v>
      </c>
      <c r="C77" t="s">
        <v>500</v>
      </c>
      <c r="D77" t="s">
        <v>326</v>
      </c>
      <c r="E77" t="s">
        <v>319</v>
      </c>
      <c r="F77" t="s">
        <v>504</v>
      </c>
      <c r="G77">
        <v>73</v>
      </c>
      <c r="H77" t="s">
        <v>505</v>
      </c>
      <c r="I77" s="30" t="s">
        <v>506</v>
      </c>
    </row>
    <row r="78" spans="1:9">
      <c r="A78" t="s">
        <v>556</v>
      </c>
      <c r="B78" t="s">
        <v>554</v>
      </c>
      <c r="C78" t="s">
        <v>500</v>
      </c>
      <c r="D78" t="s">
        <v>326</v>
      </c>
      <c r="E78" t="s">
        <v>319</v>
      </c>
      <c r="F78" t="s">
        <v>355</v>
      </c>
      <c r="G78">
        <v>47</v>
      </c>
      <c r="H78" t="s">
        <v>356</v>
      </c>
      <c r="I78" s="30" t="s">
        <v>357</v>
      </c>
    </row>
    <row r="79" spans="1:9">
      <c r="A79" t="s">
        <v>556</v>
      </c>
      <c r="B79" t="s">
        <v>554</v>
      </c>
      <c r="C79" t="s">
        <v>500</v>
      </c>
      <c r="D79" t="s">
        <v>326</v>
      </c>
      <c r="E79" t="s">
        <v>319</v>
      </c>
      <c r="F79" t="s">
        <v>352</v>
      </c>
      <c r="G79">
        <v>42</v>
      </c>
      <c r="H79" t="s">
        <v>353</v>
      </c>
      <c r="I79" s="30" t="s">
        <v>354</v>
      </c>
    </row>
    <row r="80" spans="1:9">
      <c r="A80" t="s">
        <v>556</v>
      </c>
      <c r="B80" t="s">
        <v>554</v>
      </c>
      <c r="C80" t="s">
        <v>550</v>
      </c>
      <c r="D80" t="s">
        <v>326</v>
      </c>
      <c r="E80" t="s">
        <v>319</v>
      </c>
      <c r="F80" t="s">
        <v>349</v>
      </c>
      <c r="G80">
        <v>20</v>
      </c>
      <c r="H80" t="s">
        <v>350</v>
      </c>
      <c r="I80" s="30" t="s">
        <v>351</v>
      </c>
    </row>
    <row r="81" spans="1:9">
      <c r="A81" t="s">
        <v>556</v>
      </c>
      <c r="B81" t="s">
        <v>554</v>
      </c>
      <c r="C81" t="s">
        <v>550</v>
      </c>
      <c r="D81" t="s">
        <v>326</v>
      </c>
      <c r="E81" t="s">
        <v>319</v>
      </c>
      <c r="F81" t="s">
        <v>345</v>
      </c>
      <c r="G81">
        <v>13</v>
      </c>
      <c r="H81" t="s">
        <v>347</v>
      </c>
      <c r="I81" s="30" t="s">
        <v>348</v>
      </c>
    </row>
    <row r="82" spans="1:9">
      <c r="A82" t="s">
        <v>556</v>
      </c>
      <c r="B82" t="s">
        <v>554</v>
      </c>
      <c r="C82" t="s">
        <v>550</v>
      </c>
      <c r="D82" t="s">
        <v>326</v>
      </c>
      <c r="E82" t="s">
        <v>319</v>
      </c>
      <c r="F82" t="s">
        <v>355</v>
      </c>
      <c r="G82">
        <v>32</v>
      </c>
      <c r="H82" t="s">
        <v>356</v>
      </c>
      <c r="I82" s="30" t="s">
        <v>357</v>
      </c>
    </row>
    <row r="83" spans="1:9">
      <c r="A83" t="s">
        <v>556</v>
      </c>
      <c r="B83" t="s">
        <v>554</v>
      </c>
      <c r="C83" t="s">
        <v>550</v>
      </c>
      <c r="D83" t="s">
        <v>326</v>
      </c>
      <c r="E83" t="s">
        <v>319</v>
      </c>
      <c r="F83" t="s">
        <v>352</v>
      </c>
      <c r="G83">
        <v>27</v>
      </c>
      <c r="H83" t="s">
        <v>353</v>
      </c>
      <c r="I83" s="30" t="s">
        <v>354</v>
      </c>
    </row>
    <row r="84" spans="1:9">
      <c r="A84" t="s">
        <v>556</v>
      </c>
      <c r="B84" t="s">
        <v>554</v>
      </c>
      <c r="C84" t="s">
        <v>550</v>
      </c>
      <c r="D84" t="s">
        <v>326</v>
      </c>
      <c r="E84" t="s">
        <v>319</v>
      </c>
      <c r="F84" t="s">
        <v>551</v>
      </c>
      <c r="G84">
        <v>39</v>
      </c>
      <c r="H84" t="s">
        <v>552</v>
      </c>
      <c r="I84" s="30" t="s">
        <v>553</v>
      </c>
    </row>
    <row r="85" spans="1:9">
      <c r="A85" t="s">
        <v>556</v>
      </c>
      <c r="B85" t="s">
        <v>554</v>
      </c>
      <c r="C85" t="s">
        <v>364</v>
      </c>
      <c r="D85" t="s">
        <v>326</v>
      </c>
      <c r="E85" t="s">
        <v>319</v>
      </c>
      <c r="F85" t="s">
        <v>349</v>
      </c>
      <c r="G85">
        <v>28</v>
      </c>
      <c r="H85" t="s">
        <v>350</v>
      </c>
      <c r="I85" s="30" t="s">
        <v>351</v>
      </c>
    </row>
    <row r="86" spans="1:9">
      <c r="A86" t="s">
        <v>556</v>
      </c>
      <c r="B86" t="s">
        <v>554</v>
      </c>
      <c r="C86" t="s">
        <v>364</v>
      </c>
      <c r="D86" t="s">
        <v>326</v>
      </c>
      <c r="E86" t="s">
        <v>319</v>
      </c>
      <c r="F86" t="s">
        <v>345</v>
      </c>
      <c r="G86">
        <v>17</v>
      </c>
      <c r="H86" t="s">
        <v>347</v>
      </c>
      <c r="I86" s="30" t="s">
        <v>348</v>
      </c>
    </row>
    <row r="87" spans="1:9">
      <c r="A87" t="s">
        <v>556</v>
      </c>
      <c r="B87" t="s">
        <v>554</v>
      </c>
      <c r="C87" t="s">
        <v>364</v>
      </c>
      <c r="D87" t="s">
        <v>326</v>
      </c>
      <c r="E87" t="s">
        <v>319</v>
      </c>
      <c r="F87" t="s">
        <v>365</v>
      </c>
      <c r="G87">
        <v>52</v>
      </c>
      <c r="H87" t="s">
        <v>366</v>
      </c>
      <c r="I87" s="30" t="s">
        <v>360</v>
      </c>
    </row>
    <row r="88" spans="1:9">
      <c r="A88" t="s">
        <v>556</v>
      </c>
      <c r="B88" t="s">
        <v>554</v>
      </c>
      <c r="C88" t="s">
        <v>364</v>
      </c>
      <c r="D88" t="s">
        <v>326</v>
      </c>
      <c r="E88" t="s">
        <v>319</v>
      </c>
      <c r="F88" t="s">
        <v>355</v>
      </c>
      <c r="G88">
        <v>46</v>
      </c>
      <c r="H88" t="s">
        <v>356</v>
      </c>
      <c r="I88" s="30" t="s">
        <v>357</v>
      </c>
    </row>
    <row r="89" spans="1:9">
      <c r="A89" t="s">
        <v>556</v>
      </c>
      <c r="B89" t="s">
        <v>554</v>
      </c>
      <c r="C89" t="s">
        <v>364</v>
      </c>
      <c r="D89" t="s">
        <v>326</v>
      </c>
      <c r="E89" t="s">
        <v>319</v>
      </c>
      <c r="F89" t="s">
        <v>367</v>
      </c>
      <c r="G89">
        <v>68</v>
      </c>
      <c r="H89" t="s">
        <v>368</v>
      </c>
      <c r="I89" s="30" t="s">
        <v>369</v>
      </c>
    </row>
    <row r="90" spans="1:9">
      <c r="A90" t="s">
        <v>556</v>
      </c>
      <c r="B90" t="s">
        <v>554</v>
      </c>
      <c r="C90" t="s">
        <v>364</v>
      </c>
      <c r="D90" t="s">
        <v>326</v>
      </c>
      <c r="E90" t="s">
        <v>319</v>
      </c>
      <c r="F90" t="s">
        <v>370</v>
      </c>
      <c r="G90">
        <v>100</v>
      </c>
      <c r="H90" t="s">
        <v>371</v>
      </c>
      <c r="I90" s="30" t="s">
        <v>372</v>
      </c>
    </row>
    <row r="91" spans="1:9">
      <c r="A91" t="s">
        <v>556</v>
      </c>
      <c r="B91" t="s">
        <v>554</v>
      </c>
      <c r="C91" t="s">
        <v>364</v>
      </c>
      <c r="D91" t="s">
        <v>326</v>
      </c>
      <c r="E91" t="s">
        <v>319</v>
      </c>
      <c r="F91" t="s">
        <v>352</v>
      </c>
      <c r="G91">
        <v>41</v>
      </c>
      <c r="H91" t="s">
        <v>353</v>
      </c>
      <c r="I91" s="30" t="s">
        <v>354</v>
      </c>
    </row>
    <row r="92" spans="1:9">
      <c r="A92" t="s">
        <v>556</v>
      </c>
      <c r="B92" t="s">
        <v>554</v>
      </c>
      <c r="C92" t="s">
        <v>364</v>
      </c>
      <c r="D92" t="s">
        <v>326</v>
      </c>
      <c r="E92" t="s">
        <v>319</v>
      </c>
      <c r="F92" t="s">
        <v>376</v>
      </c>
      <c r="G92">
        <v>165</v>
      </c>
      <c r="H92" t="s">
        <v>377</v>
      </c>
      <c r="I92" s="30" t="s">
        <v>378</v>
      </c>
    </row>
    <row r="93" spans="1:9">
      <c r="A93" t="s">
        <v>556</v>
      </c>
      <c r="B93" t="s">
        <v>554</v>
      </c>
      <c r="C93" t="s">
        <v>364</v>
      </c>
      <c r="D93" t="s">
        <v>326</v>
      </c>
      <c r="E93" t="s">
        <v>319</v>
      </c>
      <c r="F93" t="s">
        <v>373</v>
      </c>
      <c r="G93">
        <v>131</v>
      </c>
      <c r="H93" t="s">
        <v>374</v>
      </c>
      <c r="I93" s="30" t="s">
        <v>375</v>
      </c>
    </row>
    <row r="94" spans="1:9">
      <c r="A94" t="s">
        <v>556</v>
      </c>
      <c r="B94" t="s">
        <v>554</v>
      </c>
      <c r="C94" t="s">
        <v>346</v>
      </c>
      <c r="D94" t="s">
        <v>326</v>
      </c>
      <c r="E94" t="s">
        <v>319</v>
      </c>
      <c r="F94" t="s">
        <v>349</v>
      </c>
      <c r="G94">
        <v>28</v>
      </c>
      <c r="H94" t="s">
        <v>350</v>
      </c>
      <c r="I94" s="30" t="s">
        <v>351</v>
      </c>
    </row>
    <row r="95" spans="1:9">
      <c r="A95" t="s">
        <v>556</v>
      </c>
      <c r="B95" t="s">
        <v>554</v>
      </c>
      <c r="C95" t="s">
        <v>346</v>
      </c>
      <c r="D95" t="s">
        <v>326</v>
      </c>
      <c r="E95" t="s">
        <v>319</v>
      </c>
      <c r="F95" t="s">
        <v>345</v>
      </c>
      <c r="G95">
        <v>17</v>
      </c>
      <c r="H95" t="s">
        <v>347</v>
      </c>
      <c r="I95" s="30" t="s">
        <v>348</v>
      </c>
    </row>
    <row r="96" spans="1:9">
      <c r="A96" t="s">
        <v>556</v>
      </c>
      <c r="B96" t="s">
        <v>554</v>
      </c>
      <c r="C96" t="s">
        <v>346</v>
      </c>
      <c r="D96" t="s">
        <v>326</v>
      </c>
      <c r="E96" t="s">
        <v>319</v>
      </c>
      <c r="F96" t="s">
        <v>358</v>
      </c>
      <c r="G96">
        <v>52</v>
      </c>
      <c r="H96" t="s">
        <v>359</v>
      </c>
      <c r="I96" s="30" t="s">
        <v>360</v>
      </c>
    </row>
    <row r="97" spans="1:9">
      <c r="A97" t="s">
        <v>556</v>
      </c>
      <c r="B97" t="s">
        <v>554</v>
      </c>
      <c r="C97" t="s">
        <v>346</v>
      </c>
      <c r="D97" t="s">
        <v>326</v>
      </c>
      <c r="E97" t="s">
        <v>319</v>
      </c>
      <c r="F97" t="s">
        <v>361</v>
      </c>
      <c r="G97">
        <v>66</v>
      </c>
      <c r="H97" t="s">
        <v>362</v>
      </c>
      <c r="I97" s="30" t="s">
        <v>363</v>
      </c>
    </row>
    <row r="98" spans="1:9">
      <c r="A98" t="s">
        <v>556</v>
      </c>
      <c r="B98" t="s">
        <v>554</v>
      </c>
      <c r="C98" t="s">
        <v>346</v>
      </c>
      <c r="D98" t="s">
        <v>326</v>
      </c>
      <c r="E98" t="s">
        <v>319</v>
      </c>
      <c r="F98" t="s">
        <v>355</v>
      </c>
      <c r="G98">
        <v>46</v>
      </c>
      <c r="H98" t="s">
        <v>356</v>
      </c>
      <c r="I98" s="30" t="s">
        <v>357</v>
      </c>
    </row>
    <row r="99" spans="1:9">
      <c r="A99" t="s">
        <v>556</v>
      </c>
      <c r="B99" t="s">
        <v>554</v>
      </c>
      <c r="C99" t="s">
        <v>346</v>
      </c>
      <c r="D99" t="s">
        <v>326</v>
      </c>
      <c r="E99" t="s">
        <v>319</v>
      </c>
      <c r="F99" t="s">
        <v>352</v>
      </c>
      <c r="G99">
        <v>41</v>
      </c>
      <c r="H99" t="s">
        <v>353</v>
      </c>
      <c r="I99" s="30" t="s">
        <v>354</v>
      </c>
    </row>
    <row r="100" spans="1:9">
      <c r="A100" t="s">
        <v>556</v>
      </c>
      <c r="B100" t="s">
        <v>554</v>
      </c>
      <c r="C100" t="s">
        <v>426</v>
      </c>
      <c r="D100" t="s">
        <v>326</v>
      </c>
      <c r="E100" t="s">
        <v>319</v>
      </c>
      <c r="F100" t="s">
        <v>349</v>
      </c>
      <c r="G100">
        <v>30</v>
      </c>
      <c r="H100" t="s">
        <v>350</v>
      </c>
      <c r="I100" s="30" t="s">
        <v>351</v>
      </c>
    </row>
    <row r="101" spans="1:9">
      <c r="A101" t="s">
        <v>556</v>
      </c>
      <c r="B101" t="s">
        <v>554</v>
      </c>
      <c r="C101" t="s">
        <v>426</v>
      </c>
      <c r="D101" t="s">
        <v>326</v>
      </c>
      <c r="E101" t="s">
        <v>319</v>
      </c>
      <c r="F101" t="s">
        <v>345</v>
      </c>
      <c r="G101">
        <v>19</v>
      </c>
      <c r="H101" t="s">
        <v>347</v>
      </c>
      <c r="I101" s="30" t="s">
        <v>348</v>
      </c>
    </row>
    <row r="102" spans="1:9">
      <c r="A102" t="s">
        <v>556</v>
      </c>
      <c r="B102" t="s">
        <v>554</v>
      </c>
      <c r="C102" t="s">
        <v>426</v>
      </c>
      <c r="D102" t="s">
        <v>326</v>
      </c>
      <c r="E102" t="s">
        <v>319</v>
      </c>
      <c r="F102" t="s">
        <v>355</v>
      </c>
      <c r="G102">
        <v>52</v>
      </c>
      <c r="H102" t="s">
        <v>356</v>
      </c>
      <c r="I102" s="30" t="s">
        <v>357</v>
      </c>
    </row>
    <row r="103" spans="1:9">
      <c r="A103" t="s">
        <v>556</v>
      </c>
      <c r="B103" t="s">
        <v>554</v>
      </c>
      <c r="C103" t="s">
        <v>426</v>
      </c>
      <c r="D103" t="s">
        <v>326</v>
      </c>
      <c r="E103" t="s">
        <v>319</v>
      </c>
      <c r="F103" t="s">
        <v>427</v>
      </c>
      <c r="G103">
        <v>60</v>
      </c>
      <c r="H103" t="s">
        <v>428</v>
      </c>
      <c r="I103" s="30" t="s">
        <v>429</v>
      </c>
    </row>
    <row r="104" spans="1:9">
      <c r="A104" t="s">
        <v>556</v>
      </c>
      <c r="B104" t="s">
        <v>554</v>
      </c>
      <c r="C104" t="s">
        <v>426</v>
      </c>
      <c r="D104" t="s">
        <v>326</v>
      </c>
      <c r="E104" t="s">
        <v>319</v>
      </c>
      <c r="F104" t="s">
        <v>352</v>
      </c>
      <c r="G104">
        <v>43</v>
      </c>
      <c r="H104" t="s">
        <v>353</v>
      </c>
      <c r="I104" s="30" t="s">
        <v>354</v>
      </c>
    </row>
    <row r="105" spans="1:9">
      <c r="A105" t="s">
        <v>556</v>
      </c>
      <c r="B105" t="s">
        <v>554</v>
      </c>
      <c r="C105" t="s">
        <v>426</v>
      </c>
      <c r="D105" t="s">
        <v>326</v>
      </c>
      <c r="E105" t="s">
        <v>319</v>
      </c>
      <c r="F105" t="s">
        <v>430</v>
      </c>
      <c r="G105">
        <v>76</v>
      </c>
      <c r="H105" t="s">
        <v>431</v>
      </c>
      <c r="I105" s="30" t="s">
        <v>432</v>
      </c>
    </row>
    <row r="106" spans="1:9">
      <c r="A106" t="s">
        <v>556</v>
      </c>
      <c r="B106" t="s">
        <v>554</v>
      </c>
      <c r="C106" t="s">
        <v>426</v>
      </c>
      <c r="D106" t="s">
        <v>326</v>
      </c>
      <c r="E106" t="s">
        <v>319</v>
      </c>
      <c r="F106" t="s">
        <v>436</v>
      </c>
      <c r="G106">
        <v>116</v>
      </c>
      <c r="H106" t="s">
        <v>437</v>
      </c>
      <c r="I106" s="30" t="s">
        <v>438</v>
      </c>
    </row>
    <row r="107" spans="1:9">
      <c r="A107" t="s">
        <v>556</v>
      </c>
      <c r="B107" t="s">
        <v>554</v>
      </c>
      <c r="C107" t="s">
        <v>426</v>
      </c>
      <c r="D107" t="s">
        <v>326</v>
      </c>
      <c r="E107" t="s">
        <v>319</v>
      </c>
      <c r="F107" t="s">
        <v>433</v>
      </c>
      <c r="G107">
        <v>96</v>
      </c>
      <c r="H107" t="s">
        <v>434</v>
      </c>
      <c r="I107" s="30" t="s">
        <v>435</v>
      </c>
    </row>
    <row r="108" spans="1:9">
      <c r="A108" t="s">
        <v>556</v>
      </c>
      <c r="B108" t="s">
        <v>554</v>
      </c>
      <c r="C108" t="s">
        <v>416</v>
      </c>
      <c r="D108" t="s">
        <v>326</v>
      </c>
      <c r="E108" t="s">
        <v>319</v>
      </c>
      <c r="F108" t="s">
        <v>349</v>
      </c>
      <c r="G108">
        <v>29</v>
      </c>
      <c r="H108" t="s">
        <v>350</v>
      </c>
      <c r="I108" s="30" t="s">
        <v>351</v>
      </c>
    </row>
    <row r="109" spans="1:9">
      <c r="A109" t="s">
        <v>556</v>
      </c>
      <c r="B109" t="s">
        <v>554</v>
      </c>
      <c r="C109" t="s">
        <v>416</v>
      </c>
      <c r="D109" t="s">
        <v>326</v>
      </c>
      <c r="E109" t="s">
        <v>319</v>
      </c>
      <c r="F109" t="s">
        <v>345</v>
      </c>
      <c r="G109">
        <v>18</v>
      </c>
      <c r="H109" t="s">
        <v>347</v>
      </c>
      <c r="I109" s="30" t="s">
        <v>348</v>
      </c>
    </row>
    <row r="110" spans="1:9">
      <c r="A110" t="s">
        <v>556</v>
      </c>
      <c r="B110" t="s">
        <v>554</v>
      </c>
      <c r="C110" t="s">
        <v>416</v>
      </c>
      <c r="D110" t="s">
        <v>326</v>
      </c>
      <c r="E110" t="s">
        <v>319</v>
      </c>
      <c r="F110" t="s">
        <v>420</v>
      </c>
      <c r="G110">
        <v>73</v>
      </c>
      <c r="H110" t="s">
        <v>421</v>
      </c>
      <c r="I110" s="30" t="s">
        <v>422</v>
      </c>
    </row>
    <row r="111" spans="1:9">
      <c r="A111" t="s">
        <v>556</v>
      </c>
      <c r="B111" t="s">
        <v>554</v>
      </c>
      <c r="C111" t="s">
        <v>416</v>
      </c>
      <c r="D111" t="s">
        <v>326</v>
      </c>
      <c r="E111" t="s">
        <v>319</v>
      </c>
      <c r="F111" t="s">
        <v>417</v>
      </c>
      <c r="G111">
        <v>52</v>
      </c>
      <c r="H111" t="s">
        <v>418</v>
      </c>
      <c r="I111" s="30" t="s">
        <v>419</v>
      </c>
    </row>
    <row r="112" spans="1:9">
      <c r="A112" t="s">
        <v>556</v>
      </c>
      <c r="B112" t="s">
        <v>554</v>
      </c>
      <c r="C112" t="s">
        <v>416</v>
      </c>
      <c r="D112" t="s">
        <v>326</v>
      </c>
      <c r="E112" t="s">
        <v>319</v>
      </c>
      <c r="F112" t="s">
        <v>423</v>
      </c>
      <c r="G112">
        <v>95</v>
      </c>
      <c r="H112" t="s">
        <v>424</v>
      </c>
      <c r="I112" s="30" t="s">
        <v>425</v>
      </c>
    </row>
    <row r="113" spans="1:9">
      <c r="A113" t="s">
        <v>556</v>
      </c>
      <c r="B113" t="s">
        <v>554</v>
      </c>
      <c r="C113" t="s">
        <v>416</v>
      </c>
      <c r="D113" t="s">
        <v>326</v>
      </c>
      <c r="E113" t="s">
        <v>319</v>
      </c>
      <c r="F113" t="s">
        <v>355</v>
      </c>
      <c r="G113">
        <v>47</v>
      </c>
      <c r="H113" t="s">
        <v>356</v>
      </c>
      <c r="I113" s="30" t="s">
        <v>357</v>
      </c>
    </row>
    <row r="114" spans="1:9">
      <c r="A114" t="s">
        <v>556</v>
      </c>
      <c r="B114" t="s">
        <v>554</v>
      </c>
      <c r="C114" t="s">
        <v>416</v>
      </c>
      <c r="D114" t="s">
        <v>326</v>
      </c>
      <c r="E114" t="s">
        <v>319</v>
      </c>
      <c r="F114" t="s">
        <v>352</v>
      </c>
      <c r="G114">
        <v>42</v>
      </c>
      <c r="H114" t="s">
        <v>353</v>
      </c>
      <c r="I114" s="30" t="s">
        <v>354</v>
      </c>
    </row>
    <row r="115" spans="1:9">
      <c r="A115" t="s">
        <v>556</v>
      </c>
      <c r="B115" t="s">
        <v>554</v>
      </c>
      <c r="C115" t="s">
        <v>487</v>
      </c>
      <c r="D115" t="s">
        <v>326</v>
      </c>
      <c r="E115" t="s">
        <v>319</v>
      </c>
      <c r="F115" t="s">
        <v>349</v>
      </c>
      <c r="G115">
        <v>31</v>
      </c>
      <c r="H115" t="s">
        <v>350</v>
      </c>
      <c r="I115" s="30" t="s">
        <v>351</v>
      </c>
    </row>
    <row r="116" spans="1:9">
      <c r="A116" t="s">
        <v>556</v>
      </c>
      <c r="B116" t="s">
        <v>554</v>
      </c>
      <c r="C116" t="s">
        <v>487</v>
      </c>
      <c r="D116" t="s">
        <v>326</v>
      </c>
      <c r="E116" t="s">
        <v>319</v>
      </c>
      <c r="F116" t="s">
        <v>345</v>
      </c>
      <c r="G116">
        <v>18</v>
      </c>
      <c r="H116" t="s">
        <v>347</v>
      </c>
      <c r="I116" s="30" t="s">
        <v>348</v>
      </c>
    </row>
    <row r="117" spans="1:9">
      <c r="A117" t="s">
        <v>556</v>
      </c>
      <c r="B117" t="s">
        <v>554</v>
      </c>
      <c r="C117" t="s">
        <v>487</v>
      </c>
      <c r="D117" t="s">
        <v>326</v>
      </c>
      <c r="E117" t="s">
        <v>319</v>
      </c>
      <c r="F117" t="s">
        <v>355</v>
      </c>
      <c r="G117">
        <v>46</v>
      </c>
      <c r="H117" t="s">
        <v>356</v>
      </c>
      <c r="I117" s="30" t="s">
        <v>357</v>
      </c>
    </row>
    <row r="118" spans="1:9">
      <c r="A118" t="s">
        <v>556</v>
      </c>
      <c r="B118" t="s">
        <v>554</v>
      </c>
      <c r="C118" t="s">
        <v>487</v>
      </c>
      <c r="D118" t="s">
        <v>326</v>
      </c>
      <c r="E118" t="s">
        <v>319</v>
      </c>
      <c r="F118" t="s">
        <v>491</v>
      </c>
      <c r="G118">
        <v>61</v>
      </c>
      <c r="H118" t="s">
        <v>492</v>
      </c>
      <c r="I118" s="30" t="s">
        <v>493</v>
      </c>
    </row>
    <row r="119" spans="1:9">
      <c r="A119" t="s">
        <v>556</v>
      </c>
      <c r="B119" t="s">
        <v>554</v>
      </c>
      <c r="C119" t="s">
        <v>487</v>
      </c>
      <c r="D119" t="s">
        <v>326</v>
      </c>
      <c r="E119" t="s">
        <v>319</v>
      </c>
      <c r="F119" t="s">
        <v>488</v>
      </c>
      <c r="G119">
        <v>52</v>
      </c>
      <c r="H119" t="s">
        <v>489</v>
      </c>
      <c r="I119" s="30" t="s">
        <v>490</v>
      </c>
    </row>
    <row r="120" spans="1:9">
      <c r="A120" t="s">
        <v>556</v>
      </c>
      <c r="B120" t="s">
        <v>554</v>
      </c>
      <c r="C120" t="s">
        <v>487</v>
      </c>
      <c r="D120" t="s">
        <v>326</v>
      </c>
      <c r="E120" t="s">
        <v>319</v>
      </c>
      <c r="F120" t="s">
        <v>494</v>
      </c>
      <c r="G120">
        <v>71</v>
      </c>
      <c r="H120" t="s">
        <v>495</v>
      </c>
      <c r="I120" s="30" t="s">
        <v>496</v>
      </c>
    </row>
    <row r="121" spans="1:9">
      <c r="A121" t="s">
        <v>556</v>
      </c>
      <c r="B121" t="s">
        <v>554</v>
      </c>
      <c r="C121" t="s">
        <v>487</v>
      </c>
      <c r="D121" t="s">
        <v>326</v>
      </c>
      <c r="E121" t="s">
        <v>319</v>
      </c>
      <c r="F121" t="s">
        <v>497</v>
      </c>
      <c r="G121">
        <v>82</v>
      </c>
      <c r="H121" t="s">
        <v>498</v>
      </c>
      <c r="I121" s="30" t="s">
        <v>499</v>
      </c>
    </row>
    <row r="122" spans="1:9">
      <c r="A122" t="s">
        <v>556</v>
      </c>
      <c r="B122" t="s">
        <v>554</v>
      </c>
      <c r="C122" t="s">
        <v>487</v>
      </c>
      <c r="D122" t="s">
        <v>326</v>
      </c>
      <c r="E122" t="s">
        <v>319</v>
      </c>
      <c r="F122" t="s">
        <v>352</v>
      </c>
      <c r="G122">
        <v>41</v>
      </c>
      <c r="H122" t="s">
        <v>353</v>
      </c>
      <c r="I122" s="30" t="s">
        <v>354</v>
      </c>
    </row>
    <row r="123" spans="1:9">
      <c r="A123" t="s">
        <v>556</v>
      </c>
      <c r="B123" t="s">
        <v>554</v>
      </c>
      <c r="C123" t="s">
        <v>510</v>
      </c>
      <c r="D123" t="s">
        <v>326</v>
      </c>
      <c r="E123" t="s">
        <v>319</v>
      </c>
      <c r="F123" t="s">
        <v>349</v>
      </c>
      <c r="G123">
        <v>23</v>
      </c>
      <c r="H123" t="s">
        <v>350</v>
      </c>
      <c r="I123" s="30" t="s">
        <v>351</v>
      </c>
    </row>
    <row r="124" spans="1:9">
      <c r="A124" t="s">
        <v>556</v>
      </c>
      <c r="B124" t="s">
        <v>554</v>
      </c>
      <c r="C124" t="s">
        <v>510</v>
      </c>
      <c r="D124" t="s">
        <v>326</v>
      </c>
      <c r="E124" t="s">
        <v>319</v>
      </c>
      <c r="F124" t="s">
        <v>345</v>
      </c>
      <c r="G124">
        <v>15</v>
      </c>
      <c r="H124" t="s">
        <v>347</v>
      </c>
      <c r="I124" s="30" t="s">
        <v>348</v>
      </c>
    </row>
    <row r="125" spans="1:9">
      <c r="A125" t="s">
        <v>556</v>
      </c>
      <c r="B125" t="s">
        <v>554</v>
      </c>
      <c r="C125" t="s">
        <v>510</v>
      </c>
      <c r="D125" t="s">
        <v>326</v>
      </c>
      <c r="E125" t="s">
        <v>319</v>
      </c>
      <c r="F125" t="s">
        <v>511</v>
      </c>
      <c r="G125">
        <v>45</v>
      </c>
      <c r="H125" t="s">
        <v>512</v>
      </c>
      <c r="I125" s="30" t="s">
        <v>513</v>
      </c>
    </row>
    <row r="126" spans="1:9">
      <c r="A126" t="s">
        <v>556</v>
      </c>
      <c r="B126" t="s">
        <v>554</v>
      </c>
      <c r="C126" t="s">
        <v>510</v>
      </c>
      <c r="D126" t="s">
        <v>326</v>
      </c>
      <c r="E126" t="s">
        <v>319</v>
      </c>
      <c r="F126" t="s">
        <v>355</v>
      </c>
      <c r="G126">
        <v>39</v>
      </c>
      <c r="H126" t="s">
        <v>356</v>
      </c>
      <c r="I126" s="30" t="s">
        <v>357</v>
      </c>
    </row>
    <row r="127" spans="1:9">
      <c r="A127" t="s">
        <v>556</v>
      </c>
      <c r="B127" t="s">
        <v>554</v>
      </c>
      <c r="C127" t="s">
        <v>510</v>
      </c>
      <c r="D127" t="s">
        <v>326</v>
      </c>
      <c r="E127" t="s">
        <v>319</v>
      </c>
      <c r="F127" t="s">
        <v>352</v>
      </c>
      <c r="G127">
        <v>34</v>
      </c>
      <c r="H127" t="s">
        <v>353</v>
      </c>
      <c r="I127" s="30" t="s">
        <v>354</v>
      </c>
    </row>
    <row r="128" spans="1:9">
      <c r="A128" t="s">
        <v>556</v>
      </c>
      <c r="B128" t="s">
        <v>554</v>
      </c>
      <c r="C128" t="s">
        <v>568</v>
      </c>
      <c r="D128" t="s">
        <v>318</v>
      </c>
      <c r="E128" t="s">
        <v>319</v>
      </c>
      <c r="F128" t="s">
        <v>569</v>
      </c>
      <c r="G128">
        <v>3</v>
      </c>
      <c r="H128" t="s">
        <v>570</v>
      </c>
      <c r="I128" s="30" t="s">
        <v>321</v>
      </c>
    </row>
    <row r="129" spans="1:9">
      <c r="A129" t="s">
        <v>556</v>
      </c>
      <c r="B129" t="s">
        <v>554</v>
      </c>
      <c r="C129" t="s">
        <v>471</v>
      </c>
      <c r="D129" t="s">
        <v>571</v>
      </c>
      <c r="E129" t="s">
        <v>319</v>
      </c>
      <c r="F129" t="s">
        <v>470</v>
      </c>
      <c r="G129">
        <v>7</v>
      </c>
      <c r="H129" t="s">
        <v>472</v>
      </c>
      <c r="I129" s="30" t="s">
        <v>321</v>
      </c>
    </row>
    <row r="130" spans="1:9">
      <c r="A130" t="s">
        <v>556</v>
      </c>
      <c r="B130" t="s">
        <v>554</v>
      </c>
      <c r="C130" t="s">
        <v>471</v>
      </c>
      <c r="D130" t="s">
        <v>326</v>
      </c>
      <c r="E130" t="s">
        <v>319</v>
      </c>
      <c r="F130" t="s">
        <v>475</v>
      </c>
      <c r="G130">
        <v>116</v>
      </c>
      <c r="H130" t="s">
        <v>476</v>
      </c>
      <c r="I130" s="30" t="s">
        <v>321</v>
      </c>
    </row>
    <row r="131" spans="1:9">
      <c r="A131" t="s">
        <v>556</v>
      </c>
      <c r="B131" t="s">
        <v>554</v>
      </c>
      <c r="C131" t="s">
        <v>471</v>
      </c>
      <c r="D131" t="s">
        <v>326</v>
      </c>
      <c r="E131" t="s">
        <v>319</v>
      </c>
      <c r="F131" t="s">
        <v>477</v>
      </c>
      <c r="G131">
        <v>127</v>
      </c>
      <c r="H131" t="s">
        <v>478</v>
      </c>
      <c r="I131" s="30" t="s">
        <v>321</v>
      </c>
    </row>
    <row r="132" spans="1:9">
      <c r="A132" t="s">
        <v>556</v>
      </c>
      <c r="B132" t="s">
        <v>554</v>
      </c>
      <c r="C132" t="s">
        <v>471</v>
      </c>
      <c r="D132" t="s">
        <v>326</v>
      </c>
      <c r="E132" t="s">
        <v>319</v>
      </c>
      <c r="F132" t="s">
        <v>473</v>
      </c>
      <c r="G132">
        <v>93</v>
      </c>
      <c r="H132" t="s">
        <v>474</v>
      </c>
      <c r="I132" s="30" t="s">
        <v>321</v>
      </c>
    </row>
  </sheetData>
  <sortState xmlns:xlrd2="http://schemas.microsoft.com/office/spreadsheetml/2017/richdata2" ref="A2:I132">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2024-08-16T15:36:33Z</dcterms:modified>
</cp:coreProperties>
</file>